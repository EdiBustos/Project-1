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tev\Desktop\"/>
    </mc:Choice>
  </mc:AlternateContent>
  <xr:revisionPtr revIDLastSave="0" documentId="13_ncr:1_{CDC9CF44-75B2-49AE-BF57-318103F5AB37}" xr6:coauthVersionLast="47" xr6:coauthVersionMax="47" xr10:uidLastSave="{00000000-0000-0000-0000-000000000000}"/>
  <bookViews>
    <workbookView xWindow="-118" yWindow="-118" windowWidth="25370" windowHeight="13667" activeTab="4" xr2:uid="{177A94EE-9062-4352-AE6F-B8B2C5E5AA57}"/>
  </bookViews>
  <sheets>
    <sheet name="Ranking" sheetId="1" r:id="rId1"/>
    <sheet name="Compras" sheetId="3" r:id="rId2"/>
    <sheet name="Pendiente a precio" sheetId="4" r:id="rId3"/>
    <sheet name="Cleaning" sheetId="2" state="hidden" r:id="rId4"/>
    <sheet name="TBC Ranking (2)" sheetId="5" r:id="rId5"/>
  </sheets>
  <definedNames>
    <definedName name="_xlnm._FilterDatabase" localSheetId="1" hidden="1">Compras!$A$1:$I$1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5" l="1"/>
  <c r="H8" i="5"/>
  <c r="G8" i="5"/>
  <c r="I7" i="5"/>
  <c r="H7" i="5"/>
  <c r="G7" i="5"/>
  <c r="I2" i="5" s="1"/>
  <c r="H6" i="5"/>
  <c r="G6" i="5"/>
  <c r="H5" i="5"/>
  <c r="G5" i="5"/>
  <c r="I5" i="5" s="1"/>
  <c r="H4" i="5"/>
  <c r="G4" i="5"/>
  <c r="H3" i="5"/>
  <c r="G3" i="5"/>
  <c r="I6" i="5" s="1"/>
  <c r="H2" i="5"/>
  <c r="G2" i="5"/>
  <c r="E8" i="3"/>
  <c r="F8" i="3"/>
  <c r="H2" i="3"/>
  <c r="H3" i="3"/>
  <c r="F6" i="3"/>
  <c r="H6" i="3" s="1"/>
  <c r="F7" i="3"/>
  <c r="F2" i="3"/>
  <c r="E3" i="3"/>
  <c r="F3" i="3"/>
  <c r="G3" i="3" s="1"/>
  <c r="E2" i="3"/>
  <c r="E6" i="3"/>
  <c r="E7" i="3"/>
  <c r="O2" i="3"/>
  <c r="G3" i="1"/>
  <c r="H3" i="1"/>
  <c r="I7" i="1" s="1"/>
  <c r="I3" i="1"/>
  <c r="G4" i="1"/>
  <c r="H4" i="1"/>
  <c r="G5" i="1"/>
  <c r="I4" i="1" s="1"/>
  <c r="H5" i="1"/>
  <c r="G6" i="1"/>
  <c r="H6" i="1"/>
  <c r="G7" i="1"/>
  <c r="H7" i="1"/>
  <c r="G8" i="1"/>
  <c r="H8" i="1"/>
  <c r="G2" i="1"/>
  <c r="H2" i="1"/>
  <c r="K3" i="2"/>
  <c r="L3" i="2" s="1"/>
  <c r="K4" i="2"/>
  <c r="L4" i="2" s="1"/>
  <c r="K5" i="2"/>
  <c r="L5" i="2" s="1"/>
  <c r="K6" i="2"/>
  <c r="L6" i="2" s="1"/>
  <c r="K7" i="2"/>
  <c r="L7" i="2" s="1"/>
  <c r="K8" i="2"/>
  <c r="L8" i="2"/>
  <c r="K9" i="2"/>
  <c r="L9" i="2" s="1"/>
  <c r="K10" i="2"/>
  <c r="L10" i="2" s="1"/>
  <c r="K11" i="2"/>
  <c r="L11" i="2"/>
  <c r="K12" i="2"/>
  <c r="L12" i="2"/>
  <c r="K13" i="2"/>
  <c r="L13" i="2"/>
  <c r="K14" i="2"/>
  <c r="L14" i="2"/>
  <c r="K15" i="2"/>
  <c r="L15" i="2" s="1"/>
  <c r="K16" i="2"/>
  <c r="L16" i="2"/>
  <c r="K17" i="2"/>
  <c r="L17" i="2"/>
  <c r="K18" i="2"/>
  <c r="L18" i="2"/>
  <c r="K19" i="2"/>
  <c r="L19" i="2"/>
  <c r="K20" i="2"/>
  <c r="L20" i="2"/>
  <c r="K21" i="2"/>
  <c r="L21" i="2" s="1"/>
  <c r="K22" i="2"/>
  <c r="L22" i="2"/>
  <c r="K23" i="2"/>
  <c r="L23" i="2"/>
  <c r="K24" i="2"/>
  <c r="L24" i="2"/>
  <c r="K25" i="2"/>
  <c r="L25" i="2"/>
  <c r="K26" i="2"/>
  <c r="L26" i="2"/>
  <c r="L2" i="2"/>
  <c r="K2" i="2"/>
  <c r="G3" i="2" a="1"/>
  <c r="G3" i="2" s="1"/>
  <c r="G4" i="2" a="1"/>
  <c r="G4" i="2" s="1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G20" i="2" a="1"/>
  <c r="G20" i="2" s="1"/>
  <c r="G21" i="2" a="1"/>
  <c r="G21" i="2" s="1"/>
  <c r="G22" i="2" a="1"/>
  <c r="G22" i="2" s="1"/>
  <c r="G23" i="2" a="1"/>
  <c r="G23" i="2" s="1"/>
  <c r="G24" i="2" a="1"/>
  <c r="G24" i="2" s="1"/>
  <c r="G25" i="2" a="1"/>
  <c r="G25" i="2" s="1"/>
  <c r="G26" i="2" a="1"/>
  <c r="G26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G2" i="2" a="1"/>
  <c r="G2" i="2" s="1"/>
  <c r="B2" i="2" a="1"/>
  <c r="B2" i="2" s="1"/>
  <c r="I4" i="5" l="1"/>
  <c r="I3" i="5"/>
  <c r="H8" i="3"/>
  <c r="G8" i="3"/>
  <c r="H7" i="3"/>
  <c r="G2" i="3"/>
  <c r="G6" i="3"/>
  <c r="G7" i="3"/>
  <c r="I6" i="1"/>
  <c r="I2" i="1"/>
  <c r="I5" i="1"/>
  <c r="I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<sst xmlns="http://schemas.openxmlformats.org/spreadsheetml/2006/main" count="112" uniqueCount="70">
  <si>
    <t>Producto</t>
  </si>
  <si>
    <t>Precio</t>
  </si>
  <si>
    <t>Fecha</t>
  </si>
  <si>
    <t>Elixir de los sabios</t>
  </si>
  <si>
    <t>Elixir de poder de fuego</t>
  </si>
  <si>
    <t>Elixir de poder de escarcha</t>
  </si>
  <si>
    <t>Precio Min</t>
  </si>
  <si>
    <t>Precio Max</t>
  </si>
  <si>
    <t>Elixir de fuerza bruta</t>
  </si>
  <si>
    <t>Cantidad</t>
  </si>
  <si>
    <t>Elixir de defensa excelente</t>
  </si>
  <si>
    <t>Elixir aguardiente de nevada</t>
  </si>
  <si>
    <t>Elixir de crecimiento gigante</t>
  </si>
  <si>
    <t>Precio,"Nombre","¿Propiedad?","¿Parte superior?","Disponible"</t>
  </si>
  <si>
    <t>800020,"Elixir de respiración acuática superior","","No",23</t>
  </si>
  <si>
    <t>41,"Elixir de defensa menor","","No",29</t>
  </si>
  <si>
    <t>1928,"Elixir de Visión onírica","","No",31</t>
  </si>
  <si>
    <t>1135,"Elixir de respiración acuática","","No",33</t>
  </si>
  <si>
    <t>21769,"Elixir de los sabios","","No",53</t>
  </si>
  <si>
    <t>319,"Elixir de poder de Fuego","","No",100</t>
  </si>
  <si>
    <t>529,"Elixir de detección de demonios","","No",102</t>
  </si>
  <si>
    <t>303,"Elixir de detección de no-muertos","","No",127</t>
  </si>
  <si>
    <t>5497,"Elixir de agilidad menor","","No",132</t>
  </si>
  <si>
    <t>59,"Elixir de entereza menor","","No",156</t>
  </si>
  <si>
    <t>1495,"Elixir de ojo de gato","","No",165</t>
  </si>
  <si>
    <t>841,"Elixir de detección de invisibilidad inferior","","No",181</t>
  </si>
  <si>
    <t>7447,"Elixir de agilidad inferior","","No",208</t>
  </si>
  <si>
    <t>4582,"Elixir de poder de Fuego superior","","No",213</t>
  </si>
  <si>
    <t>3490,"Elixir Arcano","","No",221</t>
  </si>
  <si>
    <t>1154,"Elixir de defensa","","No",221</t>
  </si>
  <si>
    <t>941,"Elixir de poder de Escarcha","","No",234</t>
  </si>
  <si>
    <t>9694,"Elixir de fuerza bruta","","No",239</t>
  </si>
  <si>
    <t>5619,"Elixir de defensa excelente","","No",272</t>
  </si>
  <si>
    <t>446,"Elixir de agilidad","","No",287</t>
  </si>
  <si>
    <t>672,"Elixir de fuerza de ogro","","No",300</t>
  </si>
  <si>
    <t>542,"Elixir de fuerza de león","","No",374</t>
  </si>
  <si>
    <t>695,"Elixir de sabiduría","","No",387</t>
  </si>
  <si>
    <t>999,"Aguardiente Nevada","","No",429</t>
  </si>
  <si>
    <t>3090,"Elixir de gigantes","","No",435</t>
  </si>
  <si>
    <t>1590,"Elixir de entereza","","No",477</t>
  </si>
  <si>
    <t>245,"Poción de curación","","No",493</t>
  </si>
  <si>
    <t>17472,"Elixir de poder de las Sombras","","No",527</t>
  </si>
  <si>
    <t>2494,"Elixir de crecimiento gigante","","No",601</t>
  </si>
  <si>
    <t>2176,"Elixir de agilidad superior","","No",671</t>
  </si>
  <si>
    <t>18298,"Elixir de la mangosta","","No",725</t>
  </si>
  <si>
    <t>3385,"Elixir de intelecto superior","","No",727</t>
  </si>
  <si>
    <t>8995,"Elixir de matanza de demonios","","No",752</t>
  </si>
  <si>
    <t>4170,"Ofrenda de Arthas","","No",812</t>
  </si>
  <si>
    <t>7140,"Elixir Arcano superior","","No",1035</t>
  </si>
  <si>
    <t>3434,"Elixir de defensa superior","","No",1071</t>
  </si>
  <si>
    <t>Oro</t>
  </si>
  <si>
    <t>Plata</t>
  </si>
  <si>
    <t>Cobre</t>
  </si>
  <si>
    <t>% Historico</t>
  </si>
  <si>
    <t>% Hoy</t>
  </si>
  <si>
    <t>Ranking</t>
  </si>
  <si>
    <t>Cantidad comprada</t>
  </si>
  <si>
    <t>Precio Comprado</t>
  </si>
  <si>
    <t>Precio venta</t>
  </si>
  <si>
    <t>Cantidad venida</t>
  </si>
  <si>
    <t>Paño de Lana</t>
  </si>
  <si>
    <t>Paño de Seda</t>
  </si>
  <si>
    <t>Ganancia Re.</t>
  </si>
  <si>
    <t>Costo</t>
  </si>
  <si>
    <t>Venta</t>
  </si>
  <si>
    <t>Ganacia</t>
  </si>
  <si>
    <t>Ganacia %</t>
  </si>
  <si>
    <t>Madeja de Seda</t>
  </si>
  <si>
    <t>Comprar a ~</t>
  </si>
  <si>
    <t>Vender a 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</si>
</sst>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.000"/>
    <numFmt numFmtId="165" formatCode="[$-409]d\-mmm;@"/>
    <numFmt numFmtId="166" formatCode="0.0"/>
    <numFmt numFmtId="167" formatCode="0.0%"/>
    <numFmt numFmtId="168" formatCode="_(&quot;$&quot;* #,##0.000_);_(&quot;$&quot;* \(#,##0.0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0" xfId="1" applyFont="1" applyAlignment="1">
      <alignment horizontal="center"/>
    </xf>
    <xf numFmtId="1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/>
    <xf numFmtId="2" fontId="0" fillId="0" borderId="0" xfId="0" applyNumberFormat="1"/>
    <xf numFmtId="1" fontId="0" fillId="0" borderId="0" xfId="0" applyNumberFormat="1"/>
    <xf numFmtId="165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9" fontId="0" fillId="0" borderId="0" xfId="2" applyFont="1"/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/>
    <xf numFmtId="44" fontId="3" fillId="0" borderId="0" xfId="1" applyFont="1" applyAlignment="1">
      <alignment horizontal="center"/>
    </xf>
    <xf numFmtId="1" fontId="3" fillId="0" borderId="0" xfId="1" applyNumberFormat="1" applyFont="1" applyAlignment="1">
      <alignment horizontal="center"/>
    </xf>
    <xf numFmtId="166" fontId="3" fillId="0" borderId="0" xfId="1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2" borderId="1" xfId="0" applyFont="1" applyFill="1" applyBorder="1"/>
    <xf numFmtId="44" fontId="3" fillId="2" borderId="1" xfId="1" applyFont="1" applyFill="1" applyBorder="1" applyAlignment="1">
      <alignment horizontal="center"/>
    </xf>
    <xf numFmtId="1" fontId="3" fillId="2" borderId="1" xfId="1" applyNumberFormat="1" applyFont="1" applyFill="1" applyBorder="1" applyAlignment="1">
      <alignment horizontal="center"/>
    </xf>
    <xf numFmtId="167" fontId="3" fillId="0" borderId="0" xfId="1" applyNumberFormat="1" applyFont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44" fontId="3" fillId="0" borderId="1" xfId="1" applyFont="1" applyFill="1" applyBorder="1" applyAlignment="1">
      <alignment horizontal="center"/>
    </xf>
    <xf numFmtId="44" fontId="3" fillId="0" borderId="0" xfId="1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168" fontId="3" fillId="0" borderId="1" xfId="1" applyNumberFormat="1" applyFont="1" applyFill="1" applyBorder="1"/>
    <xf numFmtId="168" fontId="3" fillId="0" borderId="0" xfId="1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67">
    <dxf>
      <numFmt numFmtId="164" formatCode="0.000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65" formatCode="[$-409]d\-m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8" formatCode="_(&quot;$&quot;* #,##0.000_);_(&quot;$&quot;* \(#,##0.000\);_(&quot;$&quot;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[$-409]d\-mmm;@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[$-409]d\-mmm;@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[$-409]d\-mmm;@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65" formatCode="[$-409]d\-m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BFB88A-6BCC-4E71-ADB5-A1FACC9D66F9}" name="Table1" displayName="Table1" ref="A1:I8" totalsRowShown="0" headerRowDxfId="66" dataDxfId="65">
  <autoFilter ref="A1:I8" xr:uid="{9BBFB88A-6BCC-4E71-ADB5-A1FACC9D66F9}"/>
  <sortState xmlns:xlrd2="http://schemas.microsoft.com/office/spreadsheetml/2017/richdata2" ref="A2:I8">
    <sortCondition descending="1" ref="I1:I8"/>
  </sortState>
  <tableColumns count="9">
    <tableColumn id="1" xr3:uid="{F3D7A9E5-5D72-4868-A7BD-3065AFB826D2}" name="Producto"/>
    <tableColumn id="2" xr3:uid="{CC6C15FF-FBE3-496C-876A-E2EA11416B23}" name="Precio" dataDxfId="64" dataCellStyle="Currency"/>
    <tableColumn id="4" xr3:uid="{89E88965-C924-4167-BC71-63BBADCFA1FF}" name="Precio Min" dataDxfId="63" dataCellStyle="Currency"/>
    <tableColumn id="5" xr3:uid="{929CD408-4867-4C97-BBB4-65BC8ACD565F}" name="Precio Max" dataDxfId="62" dataCellStyle="Currency"/>
    <tableColumn id="6" xr3:uid="{9CA2B5A7-C7BD-489D-8F83-28B51BFBA253}" name="Cantidad" dataDxfId="61" dataCellStyle="Currency"/>
    <tableColumn id="3" xr3:uid="{A14398A8-8ED9-48FE-9D7A-29798DB771F5}" name="Fecha" dataDxfId="60"/>
    <tableColumn id="8" xr3:uid="{9E3F94F5-4D0D-4394-A842-2AFA5A6E82D3}" name="% Hoy" dataDxfId="59" dataCellStyle="Percent">
      <calculatedColumnFormula>((Table1[[#This Row],[Precio Max]]-Table1[[#This Row],[Precio]])/Table1[[#This Row],[Precio]])</calculatedColumnFormula>
    </tableColumn>
    <tableColumn id="7" xr3:uid="{66B6FFED-25D2-4D71-805E-C2AE6602B7D1}" name="% Historico" dataDxfId="58" dataCellStyle="Percent">
      <calculatedColumnFormula>(Table1[[#This Row],[Precio Max]]-Table1[[#This Row],[Precio Min]])/Table1[[#This Row],[Precio Min]]</calculatedColumnFormula>
    </tableColumn>
    <tableColumn id="9" xr3:uid="{781234ED-D88C-4B21-A73E-9D8EA2B7521B}" name="Ranking" dataDxfId="57">
      <calculatedColumnFormula>((1-(Table1[[#This Row],[Cantidad]]/MAX(Table1[Cantidad])))*0.35)+((Table1[[#This Row],[% Hoy]]/MAX(Table1[% Hoy]))*0.3)+((Table1[[#This Row],[% Historico]]/MAX(Table1[% Historico]))*0.35)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058019-BB11-486D-AD0A-9C05564C653A}" name="Table2" displayName="Table2" ref="A1:I3" totalsRowShown="0" headerRowDxfId="56" dataDxfId="54" headerRowBorderDxfId="55" tableBorderDxfId="53" totalsRowBorderDxfId="52">
  <autoFilter ref="A1:I3" xr:uid="{B3058019-BB11-486D-AD0A-9C05564C653A}"/>
  <tableColumns count="9">
    <tableColumn id="1" xr3:uid="{948CD806-2D74-48C9-BBDD-3CC4B484D157}" name="Producto" dataDxfId="51"/>
    <tableColumn id="2" xr3:uid="{C121CB6E-7194-4642-BEFC-C2F7D91872AF}" name="Precio Comprado" dataDxfId="50" dataCellStyle="Currency"/>
    <tableColumn id="4" xr3:uid="{37580BA3-C90B-4D9A-875A-56BC264C7E5D}" name="Precio Max" dataDxfId="49" dataCellStyle="Currency"/>
    <tableColumn id="5" xr3:uid="{5B0F4373-7627-4551-9AAB-E49C0566CF6B}" name="Cantidad comprada" dataDxfId="48" dataCellStyle="Currency"/>
    <tableColumn id="7" xr3:uid="{8CF68EFE-A08C-43D1-A2D3-8B46C5946576}" name="Costo" dataDxfId="47" dataCellStyle="Currency">
      <calculatedColumnFormula>Table2[[#This Row],[Cantidad comprada]]*Table2[[#This Row],[Precio Comprado]]</calculatedColumnFormula>
    </tableColumn>
    <tableColumn id="3" xr3:uid="{659CBD0B-5C96-4909-BBF1-CEA00E42ABE3}" name="Venta" dataDxfId="46" dataCellStyle="Currency">
      <calculatedColumnFormula>(Table2[[#This Row],[Cantidad comprada]]*Table2[[#This Row],[Precio Max]])*0.85</calculatedColumnFormula>
    </tableColumn>
    <tableColumn id="10" xr3:uid="{841BB9A7-88ED-4EDD-AE5A-FB423977C6A6}" name="Ganacia" dataDxfId="45" dataCellStyle="Currency">
      <calculatedColumnFormula>Table2[[#This Row],[Venta]]-Table2[[#This Row],[Costo]]</calculatedColumnFormula>
    </tableColumn>
    <tableColumn id="8" xr3:uid="{7DEBE038-9D74-428D-83B1-045F0A4B6F1B}" name="Ganacia %" dataDxfId="44" dataCellStyle="Percent">
      <calculatedColumnFormula>(Table2[[#This Row],[Venta]]-Table2[[#This Row],[Costo]])/Table2[[#This Row],[Venta]]</calculatedColumnFormula>
    </tableColumn>
    <tableColumn id="6" xr3:uid="{2F81A33C-3694-4AA5-AAF0-2984F8372B58}" name="Fecha" dataDxfId="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B47C03-922E-446D-822D-8F8589FA0E82}" name="Table24" displayName="Table24" ref="K1:P2" totalsRowShown="0" headerRowDxfId="42" dataDxfId="40" headerRowBorderDxfId="41" tableBorderDxfId="39" totalsRowBorderDxfId="38">
  <autoFilter ref="K1:P2" xr:uid="{94B47C03-922E-446D-822D-8F8589FA0E82}"/>
  <tableColumns count="6">
    <tableColumn id="1" xr3:uid="{A6246547-07DC-4F3F-86CA-5C19A8D67B2D}" name="Producto" dataDxfId="37"/>
    <tableColumn id="2" xr3:uid="{56713DC3-95A2-4011-85A5-CE151684174E}" name="Precio Comprado" dataDxfId="36" dataCellStyle="Currency"/>
    <tableColumn id="4" xr3:uid="{3B588042-5641-412F-BC88-9D6010325723}" name="Precio venta" dataDxfId="35" dataCellStyle="Currency"/>
    <tableColumn id="5" xr3:uid="{47337877-0EDD-42FE-BABA-CCC47AC5B3EA}" name="Cantidad venida" dataDxfId="34" dataCellStyle="Currency"/>
    <tableColumn id="10" xr3:uid="{66656E04-C531-4A44-8BF6-7FBAFFC053F4}" name="Ganancia Re." dataDxfId="33" dataCellStyle="Currency">
      <calculatedColumnFormula>Table24[[#This Row],[Cantidad venida]]*Table24[[#This Row],[Precio venta]]-Table24[[#This Row],[Cantidad venida]]*Table24[[#This Row],[Precio Comprado]]</calculatedColumnFormula>
    </tableColumn>
    <tableColumn id="6" xr3:uid="{08D33CDB-C12B-40C2-AF51-DB96E6192E28}" name="Fecha" dataDxfId="32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08811E-B4B4-49A8-837C-28D6B9CF784E}" name="Table25" displayName="Table25" ref="A5:I8" totalsRowShown="0" headerRowDxfId="31" dataDxfId="29" headerRowBorderDxfId="30" tableBorderDxfId="28" totalsRowBorderDxfId="27">
  <autoFilter ref="A5:I8" xr:uid="{4208811E-B4B4-49A8-837C-28D6B9CF784E}"/>
  <tableColumns count="9">
    <tableColumn id="1" xr3:uid="{9B9AEC44-CC3E-4355-8ADF-9D9E0AAB0636}" name="Producto" dataDxfId="26"/>
    <tableColumn id="2" xr3:uid="{56B0251D-66BF-4488-BC81-D14BC8D576AF}" name="Precio Comprado" dataDxfId="25" dataCellStyle="Currency"/>
    <tableColumn id="4" xr3:uid="{7011C648-2424-4B75-864C-FD5A79D49C29}" name="Precio Max" dataDxfId="24" dataCellStyle="Currency"/>
    <tableColumn id="5" xr3:uid="{D46CC96B-BE71-4BD8-BD86-58B42C5C71E8}" name="Cantidad comprada" dataDxfId="23" dataCellStyle="Currency"/>
    <tableColumn id="3" xr3:uid="{D8335919-46B4-4463-8FE0-4C30EC94F330}" name="Costo" dataDxfId="22" dataCellStyle="Currency">
      <calculatedColumnFormula>Table25[[#This Row],[Cantidad comprada]]*Table25[[#This Row],[Precio Comprado]]</calculatedColumnFormula>
    </tableColumn>
    <tableColumn id="7" xr3:uid="{5F261C0B-AD15-4920-A40D-90E478922D08}" name="Venta" dataDxfId="21" dataCellStyle="Currency">
      <calculatedColumnFormula>(Table25[[#This Row],[Cantidad comprada]]*(Table25[[#This Row],[Precio Max]]*0.85))</calculatedColumnFormula>
    </tableColumn>
    <tableColumn id="8" xr3:uid="{1BBB76CE-7B6B-4503-A401-4BA5B0BF1F34}" name="Ganacia" dataDxfId="20" dataCellStyle="Currency">
      <calculatedColumnFormula>Table25[[#This Row],[Venta]]-Table25[[#This Row],[Costo]]</calculatedColumnFormula>
    </tableColumn>
    <tableColumn id="9" xr3:uid="{612C6C23-A234-4099-816C-16214F14E9B0}" name="Ganacia %" dataDxfId="19" dataCellStyle="Currency">
      <calculatedColumnFormula>(Table25[[#This Row],[Venta]]-Table25[[#This Row],[Costo]])/Table25[[#This Row],[Venta]]</calculatedColumnFormula>
    </tableColumn>
    <tableColumn id="6" xr3:uid="{404B5330-B765-4588-B047-A91D8EBDE0CF}" name="Fecha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541A1A-2B94-4CD0-A730-159A596F8AAB}" name="Table5" displayName="Table5" ref="A1:C4" totalsRowShown="0" headerRowDxfId="17" dataDxfId="15" headerRowBorderDxfId="16" tableBorderDxfId="14" totalsRowBorderDxfId="13">
  <autoFilter ref="A1:C4" xr:uid="{61541A1A-2B94-4CD0-A730-159A596F8AAB}"/>
  <sortState xmlns:xlrd2="http://schemas.microsoft.com/office/spreadsheetml/2017/richdata2" ref="A2:C4">
    <sortCondition ref="C1:C4"/>
  </sortState>
  <tableColumns count="3">
    <tableColumn id="1" xr3:uid="{D3582255-78AC-42A4-ACAE-599D33B6E962}" name="Producto" dataDxfId="12"/>
    <tableColumn id="4" xr3:uid="{C646A68A-019D-433E-80B5-8629431C573E}" name="Comprar a ~" dataDxfId="11" dataCellStyle="Currency"/>
    <tableColumn id="2" xr3:uid="{941EB58B-AC93-4D90-BEF4-3592EE1929F1}" name="Vender a ~" dataDxfId="10" dataCellStyle="Currency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8AA1E1-96A7-464E-B00F-E09A5885CC0C}" name="Table17" displayName="Table17" ref="A1:I8" totalsRowShown="0" headerRowDxfId="9" dataDxfId="8">
  <autoFilter ref="A1:I8" xr:uid="{9BBFB88A-6BCC-4E71-ADB5-A1FACC9D66F9}"/>
  <sortState xmlns:xlrd2="http://schemas.microsoft.com/office/spreadsheetml/2017/richdata2" ref="A2:I8">
    <sortCondition descending="1" ref="I1:I8"/>
  </sortState>
  <tableColumns count="9">
    <tableColumn id="1" xr3:uid="{824F3552-D3D3-4FE3-BCA4-D8520BBBAC5F}" name="Producto"/>
    <tableColumn id="2" xr3:uid="{7A98167B-7D8A-4A2F-A4D1-0E2EED1C607A}" name="Precio" dataDxfId="7" dataCellStyle="Currency"/>
    <tableColumn id="4" xr3:uid="{2F0EED94-CCF4-4C6B-8228-B2F82D09ABAD}" name="Precio Min" dataDxfId="6" dataCellStyle="Currency"/>
    <tableColumn id="5" xr3:uid="{33885511-62F7-429B-B9FF-C16622587F4B}" name="Precio Max" dataDxfId="5" dataCellStyle="Currency"/>
    <tableColumn id="6" xr3:uid="{9617577D-C93E-4109-8091-4221A811C6EE}" name="Cantidad" dataDxfId="4" dataCellStyle="Currency"/>
    <tableColumn id="3" xr3:uid="{2BC9F924-99C1-45F9-B484-66B6A2D5022B}" name="Fecha" dataDxfId="3"/>
    <tableColumn id="8" xr3:uid="{4FF9F3BF-2977-4B80-A2D0-4FEC6358EF9D}" name="% Hoy" dataDxfId="2" dataCellStyle="Percent">
      <calculatedColumnFormula>((Table17[[#This Row],[Precio Max]]-Table17[[#This Row],[Precio]])/Table17[[#This Row],[Precio]])</calculatedColumnFormula>
    </tableColumn>
    <tableColumn id="7" xr3:uid="{AC8E5196-C2F3-452C-8362-0CC16B03F80A}" name="% Historico" dataDxfId="1" dataCellStyle="Percent">
      <calculatedColumnFormula>(Table17[[#This Row],[Precio Max]]-Table17[[#This Row],[Precio Min]])/Table17[[#This Row],[Precio Min]]</calculatedColumnFormula>
    </tableColumn>
    <tableColumn id="9" xr3:uid="{72130968-398D-40EA-A3B6-45E10AFCC232}" name="Ranking" dataDxfId="0">
      <calculatedColumnFormula>((1-(Table17[[#This Row],[Cantidad]]/MAX(Table17[Cantidad])))*0.35)+((Table17[[#This Row],[% Hoy]]/MAX(Table17[% Hoy]))*0.3)+((Table17[[#This Row],[% Historico]]/MAX(Table17[% Historico]))*0.35)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E703E-8C75-4E9A-9D25-82D12B2FDD00}">
  <dimension ref="A1:M8"/>
  <sheetViews>
    <sheetView workbookViewId="0">
      <selection activeCell="G14" sqref="G14"/>
    </sheetView>
  </sheetViews>
  <sheetFormatPr defaultRowHeight="15.05" x14ac:dyDescent="0.3"/>
  <cols>
    <col min="1" max="1" width="22.44140625" bestFit="1" customWidth="1"/>
    <col min="2" max="2" width="10" style="1" bestFit="1" customWidth="1"/>
    <col min="3" max="3" width="13.109375" style="1" bestFit="1" customWidth="1"/>
    <col min="4" max="4" width="13.44140625" bestFit="1" customWidth="1"/>
    <col min="5" max="5" width="12" bestFit="1" customWidth="1"/>
    <col min="6" max="6" width="9.6640625" bestFit="1" customWidth="1"/>
    <col min="7" max="7" width="9.88671875" bestFit="1" customWidth="1"/>
    <col min="8" max="8" width="13.88671875" bestFit="1" customWidth="1"/>
    <col min="9" max="9" width="12.44140625" bestFit="1" customWidth="1"/>
  </cols>
  <sheetData>
    <row r="1" spans="1:13" x14ac:dyDescent="0.3">
      <c r="A1" s="2" t="s">
        <v>0</v>
      </c>
      <c r="B1" s="1" t="s">
        <v>1</v>
      </c>
      <c r="C1" s="1" t="s">
        <v>6</v>
      </c>
      <c r="D1" s="1" t="s">
        <v>7</v>
      </c>
      <c r="E1" s="5" t="s">
        <v>9</v>
      </c>
      <c r="F1" s="1" t="s">
        <v>2</v>
      </c>
      <c r="G1" s="1" t="s">
        <v>54</v>
      </c>
      <c r="H1" s="1" t="s">
        <v>53</v>
      </c>
      <c r="I1" s="1" t="s">
        <v>55</v>
      </c>
    </row>
    <row r="2" spans="1:13" x14ac:dyDescent="0.3">
      <c r="A2" t="s">
        <v>4</v>
      </c>
      <c r="B2" s="3">
        <v>0.03</v>
      </c>
      <c r="C2" s="3">
        <v>0.01</v>
      </c>
      <c r="D2" s="3">
        <v>0.14000000000000001</v>
      </c>
      <c r="E2" s="4">
        <v>100</v>
      </c>
      <c r="F2" s="9">
        <v>46044</v>
      </c>
      <c r="G2" s="10">
        <f>((Table1[[#This Row],[Precio Max]]-Table1[[#This Row],[Precio]])/Table1[[#This Row],[Precio]])</f>
        <v>3.6666666666666674</v>
      </c>
      <c r="H2" s="10">
        <f>(Table1[[#This Row],[Precio Max]]-Table1[[#This Row],[Precio Min]])/Table1[[#This Row],[Precio Min]]</f>
        <v>13</v>
      </c>
      <c r="I2" s="12">
        <f>((1-(Table1[[#This Row],[Cantidad]]/MAX(Table1[Cantidad])))*0.35)+((Table1[[#This Row],[% Hoy]]/MAX(Table1[% Hoy]))*0.3)+((Table1[[#This Row],[% Historico]]/MAX(Table1[% Historico]))*0.35)</f>
        <v>0.81245338229387798</v>
      </c>
    </row>
    <row r="3" spans="1:13" x14ac:dyDescent="0.3">
      <c r="A3" t="s">
        <v>5</v>
      </c>
      <c r="B3" s="3">
        <v>0.09</v>
      </c>
      <c r="C3" s="3">
        <v>0.09</v>
      </c>
      <c r="D3" s="3">
        <v>0.67</v>
      </c>
      <c r="E3" s="4">
        <v>234</v>
      </c>
      <c r="F3" s="9">
        <v>46044</v>
      </c>
      <c r="G3" s="10">
        <f>((Table1[[#This Row],[Precio Max]]-Table1[[#This Row],[Precio]])/Table1[[#This Row],[Precio]])</f>
        <v>6.4444444444444455</v>
      </c>
      <c r="H3" s="10">
        <f>(Table1[[#This Row],[Precio Max]]-Table1[[#This Row],[Precio Min]])/Table1[[#This Row],[Precio Min]]</f>
        <v>6.4444444444444455</v>
      </c>
      <c r="I3" s="12">
        <f>((1-(Table1[[#This Row],[Cantidad]]/MAX(Table1[Cantidad])))*0.35)+((Table1[[#This Row],[% Hoy]]/MAX(Table1[% Hoy]))*0.3)+((Table1[[#This Row],[% Historico]]/MAX(Table1[% Historico]))*0.35)</f>
        <v>0.68723139496849983</v>
      </c>
      <c r="M3" s="11"/>
    </row>
    <row r="4" spans="1:13" x14ac:dyDescent="0.3">
      <c r="A4" t="s">
        <v>3</v>
      </c>
      <c r="B4" s="3">
        <v>2.17</v>
      </c>
      <c r="C4" s="3">
        <v>0.99</v>
      </c>
      <c r="D4" s="3">
        <v>2.17</v>
      </c>
      <c r="E4" s="4">
        <v>53</v>
      </c>
      <c r="F4" s="9">
        <v>46044</v>
      </c>
      <c r="G4" s="10">
        <f>((Table1[[#This Row],[Precio Max]]-Table1[[#This Row],[Precio]])/Table1[[#This Row],[Precio]])</f>
        <v>0</v>
      </c>
      <c r="H4" s="10">
        <f>(Table1[[#This Row],[Precio Max]]-Table1[[#This Row],[Precio Min]])/Table1[[#This Row],[Precio Min]]</f>
        <v>1.1919191919191918</v>
      </c>
      <c r="I4" s="12">
        <f>((1-(Table1[[#This Row],[Cantidad]]/MAX(Table1[Cantidad])))*0.35)+((Table1[[#This Row],[% Hoy]]/MAX(Table1[% Hoy]))*0.3)+((Table1[[#This Row],[% Historico]]/MAX(Table1[% Historico]))*0.35)</f>
        <v>0.35122490746450807</v>
      </c>
      <c r="M4" s="11"/>
    </row>
    <row r="5" spans="1:13" x14ac:dyDescent="0.3">
      <c r="A5" t="s">
        <v>11</v>
      </c>
      <c r="B5" s="3">
        <v>0.09</v>
      </c>
      <c r="C5" s="3">
        <v>0.09</v>
      </c>
      <c r="D5" s="3">
        <v>0.49</v>
      </c>
      <c r="E5" s="4">
        <v>429</v>
      </c>
      <c r="F5" s="9">
        <v>46044</v>
      </c>
      <c r="G5" s="10">
        <f>((Table1[[#This Row],[Precio Max]]-Table1[[#This Row],[Precio]])/Table1[[#This Row],[Precio]])</f>
        <v>4.4444444444444446</v>
      </c>
      <c r="H5" s="10">
        <f>(Table1[[#This Row],[Precio Max]]-Table1[[#This Row],[Precio Min]])/Table1[[#This Row],[Precio Min]]</f>
        <v>4.4444444444444446</v>
      </c>
      <c r="I5" s="12">
        <f>((1-(Table1[[#This Row],[Cantidad]]/MAX(Table1[Cantidad])))*0.35)+((Table1[[#This Row],[% Hoy]]/MAX(Table1[% Hoy]))*0.3)+((Table1[[#This Row],[% Historico]]/MAX(Table1[% Historico]))*0.35)</f>
        <v>0.42672106073333904</v>
      </c>
      <c r="M5" s="11"/>
    </row>
    <row r="6" spans="1:13" x14ac:dyDescent="0.3">
      <c r="A6" t="s">
        <v>8</v>
      </c>
      <c r="B6" s="3">
        <v>0.96</v>
      </c>
      <c r="C6" s="3">
        <v>0.96</v>
      </c>
      <c r="D6" s="3">
        <v>2.29</v>
      </c>
      <c r="E6" s="4">
        <v>239</v>
      </c>
      <c r="F6" s="9">
        <v>46044</v>
      </c>
      <c r="G6" s="10">
        <f>((Table1[[#This Row],[Precio Max]]-Table1[[#This Row],[Precio]])/Table1[[#This Row],[Precio]])</f>
        <v>1.3854166666666667</v>
      </c>
      <c r="H6" s="10">
        <f>(Table1[[#This Row],[Precio Max]]-Table1[[#This Row],[Precio Min]])/Table1[[#This Row],[Precio Min]]</f>
        <v>1.3854166666666667</v>
      </c>
      <c r="I6" s="12">
        <f>((1-(Table1[[#This Row],[Cantidad]]/MAX(Table1[Cantidad])))*0.35)+((Table1[[#This Row],[% Hoy]]/MAX(Table1[% Hoy]))*0.3)+((Table1[[#This Row],[% Historico]]/MAX(Table1[% Historico]))*0.35)</f>
        <v>0.31260852179023763</v>
      </c>
    </row>
    <row r="7" spans="1:13" x14ac:dyDescent="0.3">
      <c r="A7" t="s">
        <v>10</v>
      </c>
      <c r="B7" s="3">
        <v>0.56000000000000005</v>
      </c>
      <c r="C7" s="3">
        <v>0.55000000000000004</v>
      </c>
      <c r="D7" s="3">
        <v>1.29</v>
      </c>
      <c r="E7" s="4">
        <v>272</v>
      </c>
      <c r="F7" s="9">
        <v>46044</v>
      </c>
      <c r="G7" s="10">
        <f>((Table1[[#This Row],[Precio Max]]-Table1[[#This Row],[Precio]])/Table1[[#This Row],[Precio]])</f>
        <v>1.3035714285714284</v>
      </c>
      <c r="H7" s="10">
        <f>(Table1[[#This Row],[Precio Max]]-Table1[[#This Row],[Precio Min]])/Table1[[#This Row],[Precio Min]]</f>
        <v>1.3454545454545452</v>
      </c>
      <c r="I7" s="12">
        <f>((1-(Table1[[#This Row],[Cantidad]]/MAX(Table1[Cantidad])))*0.35)+((Table1[[#This Row],[% Hoy]]/MAX(Table1[% Hoy]))*0.3)+((Table1[[#This Row],[% Historico]]/MAX(Table1[% Historico]))*0.35)</f>
        <v>0.28850461153110468</v>
      </c>
    </row>
    <row r="8" spans="1:13" x14ac:dyDescent="0.3">
      <c r="A8" t="s">
        <v>12</v>
      </c>
      <c r="B8" s="3">
        <v>0.24</v>
      </c>
      <c r="C8" s="3">
        <v>0.24</v>
      </c>
      <c r="D8" s="3">
        <v>1.1399999999999999</v>
      </c>
      <c r="E8" s="4">
        <v>601</v>
      </c>
      <c r="F8" s="9">
        <v>46044</v>
      </c>
      <c r="G8" s="10">
        <f>((Table1[[#This Row],[Precio Max]]-Table1[[#This Row],[Precio]])/Table1[[#This Row],[Precio]])</f>
        <v>3.7499999999999996</v>
      </c>
      <c r="H8" s="10">
        <f>(Table1[[#This Row],[Precio Max]]-Table1[[#This Row],[Precio Min]])/Table1[[#This Row],[Precio Min]]</f>
        <v>3.7499999999999996</v>
      </c>
      <c r="I8" s="12">
        <f>((1-(Table1[[#This Row],[Cantidad]]/MAX(Table1[Cantidad])))*0.35)+((Table1[[#This Row],[% Hoy]]/MAX(Table1[% Hoy]))*0.3)+((Table1[[#This Row],[% Historico]]/MAX(Table1[% Historico]))*0.35)</f>
        <v>0.27553050397877976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6F87-9111-418A-A724-E392EB4C6E3E}">
  <dimension ref="A1:P8"/>
  <sheetViews>
    <sheetView zoomScale="90" zoomScaleNormal="90" workbookViewId="0">
      <selection activeCell="D8" sqref="D8"/>
    </sheetView>
  </sheetViews>
  <sheetFormatPr defaultRowHeight="14.4" x14ac:dyDescent="0.25"/>
  <cols>
    <col min="1" max="1" width="23.6640625" style="16" bestFit="1" customWidth="1"/>
    <col min="2" max="2" width="20.77734375" style="16" bestFit="1" customWidth="1"/>
    <col min="3" max="3" width="15" style="16" bestFit="1" customWidth="1"/>
    <col min="4" max="4" width="22.33203125" style="16" bestFit="1" customWidth="1"/>
    <col min="5" max="5" width="10.44140625" style="16" bestFit="1" customWidth="1"/>
    <col min="6" max="6" width="10.21875" style="16" bestFit="1" customWidth="1"/>
    <col min="7" max="7" width="12.33203125" style="16" bestFit="1" customWidth="1"/>
    <col min="8" max="8" width="14.44140625" style="16" bestFit="1" customWidth="1"/>
    <col min="9" max="9" width="10.5546875" style="16" bestFit="1" customWidth="1"/>
    <col min="10" max="10" width="14.6640625" style="16" bestFit="1" customWidth="1"/>
    <col min="11" max="11" width="23.6640625" style="16" bestFit="1" customWidth="1"/>
    <col min="12" max="12" width="20.77734375" style="16" bestFit="1" customWidth="1"/>
    <col min="13" max="13" width="16.5546875" style="16" bestFit="1" customWidth="1"/>
    <col min="14" max="14" width="19.77734375" style="16" bestFit="1" customWidth="1"/>
    <col min="15" max="15" width="17" style="16" bestFit="1" customWidth="1"/>
    <col min="16" max="16" width="10.5546875" style="16" bestFit="1" customWidth="1"/>
    <col min="17" max="16384" width="8.88671875" style="16"/>
  </cols>
  <sheetData>
    <row r="1" spans="1:16" x14ac:dyDescent="0.25">
      <c r="A1" s="13" t="s">
        <v>0</v>
      </c>
      <c r="B1" s="14" t="s">
        <v>57</v>
      </c>
      <c r="C1" s="14" t="s">
        <v>7</v>
      </c>
      <c r="D1" s="15" t="s">
        <v>56</v>
      </c>
      <c r="E1" s="15" t="s">
        <v>63</v>
      </c>
      <c r="F1" s="15" t="s">
        <v>64</v>
      </c>
      <c r="G1" s="15" t="s">
        <v>65</v>
      </c>
      <c r="H1" s="15" t="s">
        <v>66</v>
      </c>
      <c r="I1" s="14" t="s">
        <v>2</v>
      </c>
      <c r="K1" s="13" t="s">
        <v>0</v>
      </c>
      <c r="L1" s="14" t="s">
        <v>57</v>
      </c>
      <c r="M1" s="14" t="s">
        <v>58</v>
      </c>
      <c r="N1" s="15" t="s">
        <v>59</v>
      </c>
      <c r="O1" s="15" t="s">
        <v>62</v>
      </c>
      <c r="P1" s="14" t="s">
        <v>2</v>
      </c>
    </row>
    <row r="2" spans="1:16" x14ac:dyDescent="0.25">
      <c r="A2" s="16" t="s">
        <v>4</v>
      </c>
      <c r="B2" s="17">
        <v>0.03</v>
      </c>
      <c r="C2" s="17">
        <v>0.09</v>
      </c>
      <c r="D2" s="18">
        <v>31</v>
      </c>
      <c r="E2" s="19">
        <f>Table2[[#This Row],[Cantidad comprada]]*Table2[[#This Row],[Precio Comprado]]</f>
        <v>0.92999999999999994</v>
      </c>
      <c r="F2" s="19">
        <f>(Table2[[#This Row],[Cantidad comprada]]*Table2[[#This Row],[Precio Max]])*0.85</f>
        <v>2.3715000000000002</v>
      </c>
      <c r="G2" s="19">
        <f>Table2[[#This Row],[Venta]]-Table2[[#This Row],[Costo]]</f>
        <v>1.4415000000000002</v>
      </c>
      <c r="H2" s="20">
        <f>(Table2[[#This Row],[Venta]]-Table2[[#This Row],[Costo]])/Table2[[#This Row],[Venta]]</f>
        <v>0.60784313725490202</v>
      </c>
      <c r="I2" s="21">
        <v>46044</v>
      </c>
      <c r="K2" s="16" t="s">
        <v>5</v>
      </c>
      <c r="L2" s="17">
        <v>0.09</v>
      </c>
      <c r="M2" s="17">
        <v>0.3</v>
      </c>
      <c r="N2" s="18">
        <v>12</v>
      </c>
      <c r="O2" s="18">
        <f>Table24[[#This Row],[Cantidad venida]]*Table24[[#This Row],[Precio venta]]-Table24[[#This Row],[Cantidad venida]]*Table24[[#This Row],[Precio Comprado]]</f>
        <v>2.5199999999999996</v>
      </c>
      <c r="P2" s="21">
        <v>46044</v>
      </c>
    </row>
    <row r="3" spans="1:16" x14ac:dyDescent="0.25">
      <c r="A3" s="16" t="s">
        <v>5</v>
      </c>
      <c r="B3" s="17">
        <v>0.09</v>
      </c>
      <c r="C3" s="17">
        <v>0.3</v>
      </c>
      <c r="D3" s="18">
        <v>12</v>
      </c>
      <c r="E3" s="19">
        <f>Table2[[#This Row],[Cantidad comprada]]*Table2[[#This Row],[Precio Comprado]]</f>
        <v>1.08</v>
      </c>
      <c r="F3" s="19">
        <f>(Table2[[#This Row],[Cantidad comprada]]*Table2[[#This Row],[Precio Max]])*0.85</f>
        <v>3.0599999999999996</v>
      </c>
      <c r="G3" s="19">
        <f>Table2[[#This Row],[Venta]]-Table2[[#This Row],[Costo]]</f>
        <v>1.9799999999999995</v>
      </c>
      <c r="H3" s="20">
        <f>(Table2[[#This Row],[Venta]]-Table2[[#This Row],[Costo]])/Table2[[#This Row],[Venta]]</f>
        <v>0.64705882352941169</v>
      </c>
      <c r="I3" s="21">
        <v>46044</v>
      </c>
    </row>
    <row r="5" spans="1:16" x14ac:dyDescent="0.25">
      <c r="A5" s="13" t="s">
        <v>0</v>
      </c>
      <c r="B5" s="14" t="s">
        <v>57</v>
      </c>
      <c r="C5" s="14" t="s">
        <v>7</v>
      </c>
      <c r="D5" s="15" t="s">
        <v>56</v>
      </c>
      <c r="E5" s="15" t="s">
        <v>63</v>
      </c>
      <c r="F5" s="15" t="s">
        <v>64</v>
      </c>
      <c r="G5" s="15" t="s">
        <v>65</v>
      </c>
      <c r="H5" s="15" t="s">
        <v>66</v>
      </c>
      <c r="I5" s="14" t="s">
        <v>2</v>
      </c>
    </row>
    <row r="6" spans="1:16" x14ac:dyDescent="0.25">
      <c r="A6" s="16" t="s">
        <v>60</v>
      </c>
      <c r="B6" s="17">
        <v>0.61099999999999999</v>
      </c>
      <c r="C6" s="17">
        <v>0.66700000000000004</v>
      </c>
      <c r="D6" s="18">
        <v>10</v>
      </c>
      <c r="E6" s="19">
        <f>Table25[[#This Row],[Cantidad comprada]]*Table25[[#This Row],[Precio Comprado]]</f>
        <v>6.1099999999999994</v>
      </c>
      <c r="F6" s="19">
        <f>(Table25[[#This Row],[Cantidad comprada]]*(Table25[[#This Row],[Precio Max]]*0.85))</f>
        <v>5.6695000000000011</v>
      </c>
      <c r="G6" s="19">
        <f>Table25[[#This Row],[Venta]]-Table25[[#This Row],[Costo]]</f>
        <v>-0.44049999999999834</v>
      </c>
      <c r="H6" s="20">
        <f>(Table25[[#This Row],[Venta]]-Table25[[#This Row],[Costo]])/Table25[[#This Row],[Venta]]</f>
        <v>-7.7696445894699401E-2</v>
      </c>
      <c r="I6" s="21">
        <v>46045</v>
      </c>
    </row>
    <row r="7" spans="1:16" x14ac:dyDescent="0.25">
      <c r="A7" s="16" t="s">
        <v>61</v>
      </c>
      <c r="B7" s="17">
        <v>0.02</v>
      </c>
      <c r="C7" s="17">
        <v>0.04</v>
      </c>
      <c r="D7" s="18">
        <v>100</v>
      </c>
      <c r="E7" s="19">
        <f>Table25[[#This Row],[Cantidad comprada]]*Table25[[#This Row],[Precio Comprado]]</f>
        <v>2</v>
      </c>
      <c r="F7" s="19">
        <f>(Table25[[#This Row],[Cantidad comprada]]*(Table25[[#This Row],[Precio Max]]*0.85))</f>
        <v>3.4000000000000004</v>
      </c>
      <c r="G7" s="19">
        <f>Table25[[#This Row],[Venta]]-Table25[[#This Row],[Costo]]</f>
        <v>1.4000000000000004</v>
      </c>
      <c r="H7" s="20">
        <f>(Table25[[#This Row],[Venta]]-Table25[[#This Row],[Costo]])/Table25[[#This Row],[Venta]]</f>
        <v>0.41176470588235298</v>
      </c>
      <c r="I7" s="21">
        <v>46045</v>
      </c>
    </row>
    <row r="8" spans="1:16" x14ac:dyDescent="0.25">
      <c r="A8" s="22" t="s">
        <v>67</v>
      </c>
      <c r="B8" s="23">
        <v>9.9000000000000005E-2</v>
      </c>
      <c r="C8" s="23">
        <v>0.16</v>
      </c>
      <c r="D8" s="24">
        <v>26</v>
      </c>
      <c r="E8" s="19">
        <f>Table25[[#This Row],[Cantidad comprada]]*Table25[[#This Row],[Precio Comprado]]</f>
        <v>2.5740000000000003</v>
      </c>
      <c r="F8" s="19">
        <f>(Table25[[#This Row],[Cantidad comprada]]*(Table25[[#This Row],[Precio Max]]*0.85))</f>
        <v>3.5360000000000005</v>
      </c>
      <c r="G8" s="19">
        <f>Table25[[#This Row],[Venta]]-Table25[[#This Row],[Costo]]</f>
        <v>0.96200000000000019</v>
      </c>
      <c r="H8" s="25">
        <f>(Table25[[#This Row],[Venta]]-Table25[[#This Row],[Costo]])/Table25[[#This Row],[Venta]]</f>
        <v>0.2720588235294118</v>
      </c>
      <c r="I8" s="26"/>
    </row>
  </sheetData>
  <pageMargins left="0.7" right="0.7" top="0.75" bottom="0.75" header="0.3" footer="0.3"/>
  <ignoredErrors>
    <ignoredError sqref="E2" calculatedColumn="1"/>
  </ignoredErrors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0624F-FD12-4D53-9526-308FF6BC689B}">
  <dimension ref="A1:C4"/>
  <sheetViews>
    <sheetView zoomScale="90" zoomScaleNormal="90" workbookViewId="0">
      <selection activeCell="I13" sqref="I13"/>
    </sheetView>
  </sheetViews>
  <sheetFormatPr defaultRowHeight="15.05" x14ac:dyDescent="0.3"/>
  <cols>
    <col min="1" max="1" width="20.5546875" bestFit="1" customWidth="1"/>
    <col min="2" max="2" width="14.5546875" bestFit="1" customWidth="1"/>
    <col min="3" max="3" width="15" bestFit="1" customWidth="1"/>
  </cols>
  <sheetData>
    <row r="1" spans="1:3" x14ac:dyDescent="0.3">
      <c r="A1" s="30" t="s">
        <v>0</v>
      </c>
      <c r="B1" s="30" t="s">
        <v>68</v>
      </c>
      <c r="C1" s="31" t="s">
        <v>69</v>
      </c>
    </row>
    <row r="2" spans="1:3" x14ac:dyDescent="0.3">
      <c r="A2" s="27" t="s">
        <v>4</v>
      </c>
      <c r="B2" s="32">
        <v>0.03</v>
      </c>
      <c r="C2" s="28">
        <v>0.09</v>
      </c>
    </row>
    <row r="3" spans="1:3" x14ac:dyDescent="0.3">
      <c r="A3" s="27" t="s">
        <v>67</v>
      </c>
      <c r="B3" s="33">
        <v>9.8000000000000004E-2</v>
      </c>
      <c r="C3" s="29">
        <v>0.15</v>
      </c>
    </row>
    <row r="4" spans="1:3" x14ac:dyDescent="0.3">
      <c r="A4" s="27" t="s">
        <v>61</v>
      </c>
      <c r="B4" s="32">
        <v>1.6E-2</v>
      </c>
      <c r="C4" s="28">
        <v>0.3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3DD0-8444-409F-BF3E-F34784C0C19E}">
  <dimension ref="A1:L37"/>
  <sheetViews>
    <sheetView workbookViewId="0">
      <selection activeCell="L2" sqref="L2"/>
    </sheetView>
  </sheetViews>
  <sheetFormatPr defaultRowHeight="15.05" x14ac:dyDescent="0.3"/>
  <cols>
    <col min="1" max="1" width="50.33203125" bestFit="1" customWidth="1"/>
    <col min="2" max="2" width="7" bestFit="1" customWidth="1"/>
    <col min="3" max="3" width="31.109375" bestFit="1" customWidth="1"/>
    <col min="4" max="4" width="2.33203125" bestFit="1" customWidth="1"/>
    <col min="5" max="5" width="4.5546875" bestFit="1" customWidth="1"/>
    <col min="6" max="6" width="8" bestFit="1" customWidth="1"/>
  </cols>
  <sheetData>
    <row r="1" spans="1:12" x14ac:dyDescent="0.3">
      <c r="A1" t="s">
        <v>13</v>
      </c>
      <c r="C1" s="6" t="s">
        <v>0</v>
      </c>
      <c r="F1" s="6" t="s">
        <v>9</v>
      </c>
      <c r="G1" s="6" t="s">
        <v>50</v>
      </c>
      <c r="H1" s="6" t="s">
        <v>51</v>
      </c>
      <c r="I1" s="6" t="s">
        <v>52</v>
      </c>
      <c r="J1" s="6" t="s">
        <v>0</v>
      </c>
      <c r="K1" s="6" t="s">
        <v>1</v>
      </c>
    </row>
    <row r="2" spans="1:12" x14ac:dyDescent="0.3">
      <c r="A2" t="s">
        <v>14</v>
      </c>
      <c r="B2" t="str" cm="1">
        <f t="array" ref="B2:F2">_xlfn.TEXTSPLIT(A2,",")</f>
        <v>800020</v>
      </c>
      <c r="C2" t="str">
        <v>"Elixir de respiración acuática superior"</v>
      </c>
      <c r="D2" t="str">
        <v>""</v>
      </c>
      <c r="E2" t="str">
        <v>"No"</v>
      </c>
      <c r="F2" t="str">
        <v>23</v>
      </c>
      <c r="G2" t="str" cm="1">
        <f t="array" ref="G2:I2">_xlfn.LET(
 _xlpm.n,LEFT(A2,FIND(",",A2)-1),
 _xlpm.k,_xlfn.SEQUENCE(1,ROUNDUP(LEN(_xlpm.n)/2,0)),
 MID(_xlpm.n,(_xlpm.k-1)*2+1,2)
)</f>
        <v>80</v>
      </c>
      <c r="H2" t="str">
        <v>00</v>
      </c>
      <c r="I2" t="str">
        <v>20</v>
      </c>
      <c r="K2" s="8" t="str">
        <f>G2&amp;"."&amp;IF(H2="BLANK","00",H2)</f>
        <v>80.00</v>
      </c>
      <c r="L2" s="7">
        <f>VALUE(K2)</f>
        <v>80</v>
      </c>
    </row>
    <row r="3" spans="1:12" x14ac:dyDescent="0.3">
      <c r="A3" t="s">
        <v>15</v>
      </c>
      <c r="B3" t="str" cm="1">
        <f t="array" ref="B3:F3">_xlfn.TEXTSPLIT(A3,",")</f>
        <v>41</v>
      </c>
      <c r="C3" t="str">
        <v>"Elixir de defensa menor"</v>
      </c>
      <c r="D3" t="str">
        <v>""</v>
      </c>
      <c r="E3" t="str">
        <v>"No"</v>
      </c>
      <c r="F3" t="str">
        <v>29</v>
      </c>
      <c r="G3" t="str" cm="1">
        <f t="array" ref="G3">_xlfn.LET(
 _xlpm.n,LEFT(A3,FIND(",",A3)-1),
 _xlpm.k,_xlfn.SEQUENCE(1,ROUNDUP(LEN(_xlpm.n)/2,0)),
 MID(_xlpm.n,(_xlpm.k-1)*2+1,2)
)</f>
        <v>41</v>
      </c>
      <c r="K3" s="8" t="str">
        <f t="shared" ref="K3:K26" si="0">G3&amp;"."&amp;IF(H3="BLANK","00",H3)</f>
        <v>41.</v>
      </c>
      <c r="L3" s="7">
        <f t="shared" ref="L3:L26" si="1">VALUE(K3)</f>
        <v>41</v>
      </c>
    </row>
    <row r="4" spans="1:12" x14ac:dyDescent="0.3">
      <c r="A4" t="s">
        <v>16</v>
      </c>
      <c r="B4" t="str" cm="1">
        <f t="array" ref="B4:F4">_xlfn.TEXTSPLIT(A4,",")</f>
        <v>1928</v>
      </c>
      <c r="C4" t="str">
        <v>"Elixir de Visión onírica"</v>
      </c>
      <c r="D4" t="str">
        <v>""</v>
      </c>
      <c r="E4" t="str">
        <v>"No"</v>
      </c>
      <c r="F4" t="str">
        <v>31</v>
      </c>
      <c r="G4" t="str" cm="1">
        <f t="array" ref="G4:H4">_xlfn.LET(
 _xlpm.n,LEFT(A4,FIND(",",A4)-1),
 _xlpm.k,_xlfn.SEQUENCE(1,ROUNDUP(LEN(_xlpm.n)/2,0)),
 MID(_xlpm.n,(_xlpm.k-1)*2+1,2)
)</f>
        <v>19</v>
      </c>
      <c r="H4" t="str">
        <v>28</v>
      </c>
      <c r="K4" s="8" t="str">
        <f t="shared" si="0"/>
        <v>19.28</v>
      </c>
      <c r="L4" s="7">
        <f t="shared" si="1"/>
        <v>19.28</v>
      </c>
    </row>
    <row r="5" spans="1:12" x14ac:dyDescent="0.3">
      <c r="A5" t="s">
        <v>17</v>
      </c>
      <c r="B5" t="str" cm="1">
        <f t="array" ref="B5:F5">_xlfn.TEXTSPLIT(A5,",")</f>
        <v>1135</v>
      </c>
      <c r="C5" t="str">
        <v>"Elixir de respiración acuática"</v>
      </c>
      <c r="D5" t="str">
        <v>""</v>
      </c>
      <c r="E5" t="str">
        <v>"No"</v>
      </c>
      <c r="F5" t="str">
        <v>33</v>
      </c>
      <c r="G5" t="str" cm="1">
        <f t="array" ref="G5:H5">_xlfn.LET(
 _xlpm.n,LEFT(A5,FIND(",",A5)-1),
 _xlpm.k,_xlfn.SEQUENCE(1,ROUNDUP(LEN(_xlpm.n)/2,0)),
 MID(_xlpm.n,(_xlpm.k-1)*2+1,2)
)</f>
        <v>11</v>
      </c>
      <c r="H5" t="str">
        <v>35</v>
      </c>
      <c r="K5" s="8" t="str">
        <f t="shared" si="0"/>
        <v>11.35</v>
      </c>
      <c r="L5" s="7">
        <f t="shared" si="1"/>
        <v>11.35</v>
      </c>
    </row>
    <row r="6" spans="1:12" x14ac:dyDescent="0.3">
      <c r="A6" t="s">
        <v>18</v>
      </c>
      <c r="B6" t="str" cm="1">
        <f t="array" ref="B6:F6">_xlfn.TEXTSPLIT(A6,",")</f>
        <v>21769</v>
      </c>
      <c r="C6" t="str">
        <v>"Elixir de los sabios"</v>
      </c>
      <c r="D6" t="str">
        <v>""</v>
      </c>
      <c r="E6" t="str">
        <v>"No"</v>
      </c>
      <c r="F6" t="str">
        <v>53</v>
      </c>
      <c r="G6" t="str" cm="1">
        <f t="array" ref="G6:I6">_xlfn.LET(
 _xlpm.n,LEFT(A6,FIND(",",A6)-1),
 _xlpm.k,_xlfn.SEQUENCE(1,ROUNDUP(LEN(_xlpm.n)/2,0)),
 MID(_xlpm.n,(_xlpm.k-1)*2+1,2)
)</f>
        <v>21</v>
      </c>
      <c r="H6" t="str">
        <v>76</v>
      </c>
      <c r="I6" t="str">
        <v>9</v>
      </c>
      <c r="K6" s="8" t="str">
        <f t="shared" si="0"/>
        <v>21.76</v>
      </c>
      <c r="L6" s="7">
        <f t="shared" si="1"/>
        <v>21.76</v>
      </c>
    </row>
    <row r="7" spans="1:12" x14ac:dyDescent="0.3">
      <c r="A7" t="s">
        <v>19</v>
      </c>
      <c r="B7" t="str" cm="1">
        <f t="array" ref="B7:F7">_xlfn.TEXTSPLIT(A7,",")</f>
        <v>319</v>
      </c>
      <c r="C7" t="str">
        <v>"Elixir de poder de Fuego"</v>
      </c>
      <c r="D7" t="str">
        <v>""</v>
      </c>
      <c r="E7" t="str">
        <v>"No"</v>
      </c>
      <c r="F7" t="str">
        <v>100</v>
      </c>
      <c r="G7" t="str" cm="1">
        <f t="array" ref="G7:H7">_xlfn.LET(
 _xlpm.n,LEFT(A7,FIND(",",A7)-1),
 _xlpm.k,_xlfn.SEQUENCE(1,ROUNDUP(LEN(_xlpm.n)/2,0)),
 MID(_xlpm.n,(_xlpm.k-1)*2+1,2)
)</f>
        <v>31</v>
      </c>
      <c r="H7" t="str">
        <v>9</v>
      </c>
      <c r="K7" s="8" t="str">
        <f t="shared" si="0"/>
        <v>31.9</v>
      </c>
      <c r="L7" s="7">
        <f t="shared" si="1"/>
        <v>31.9</v>
      </c>
    </row>
    <row r="8" spans="1:12" x14ac:dyDescent="0.3">
      <c r="A8" t="s">
        <v>20</v>
      </c>
      <c r="B8" t="str" cm="1">
        <f t="array" ref="B8:F8">_xlfn.TEXTSPLIT(A8,",")</f>
        <v>529</v>
      </c>
      <c r="C8" t="str">
        <v>"Elixir de detección de demonios"</v>
      </c>
      <c r="D8" t="str">
        <v>""</v>
      </c>
      <c r="E8" t="str">
        <v>"No"</v>
      </c>
      <c r="F8" t="str">
        <v>102</v>
      </c>
      <c r="G8" t="str" cm="1">
        <f t="array" ref="G8:H8">_xlfn.LET(
 _xlpm.n,LEFT(A8,FIND(",",A8)-1),
 _xlpm.k,_xlfn.SEQUENCE(1,ROUNDUP(LEN(_xlpm.n)/2,0)),
 MID(_xlpm.n,(_xlpm.k-1)*2+1,2)
)</f>
        <v>52</v>
      </c>
      <c r="H8" t="str">
        <v>9</v>
      </c>
      <c r="K8" s="8" t="str">
        <f t="shared" si="0"/>
        <v>52.9</v>
      </c>
      <c r="L8" s="7">
        <f t="shared" si="1"/>
        <v>52.9</v>
      </c>
    </row>
    <row r="9" spans="1:12" x14ac:dyDescent="0.3">
      <c r="A9" t="s">
        <v>21</v>
      </c>
      <c r="B9" t="str" cm="1">
        <f t="array" ref="B9:F9">_xlfn.TEXTSPLIT(A9,",")</f>
        <v>303</v>
      </c>
      <c r="C9" t="str">
        <v>"Elixir de detección de no-muertos"</v>
      </c>
      <c r="D9" t="str">
        <v>""</v>
      </c>
      <c r="E9" t="str">
        <v>"No"</v>
      </c>
      <c r="F9" t="str">
        <v>127</v>
      </c>
      <c r="G9" t="str" cm="1">
        <f t="array" ref="G9:H9">_xlfn.LET(
 _xlpm.n,LEFT(A9,FIND(",",A9)-1),
 _xlpm.k,_xlfn.SEQUENCE(1,ROUNDUP(LEN(_xlpm.n)/2,0)),
 MID(_xlpm.n,(_xlpm.k-1)*2+1,2)
)</f>
        <v>30</v>
      </c>
      <c r="H9" t="str">
        <v>3</v>
      </c>
      <c r="K9" s="8" t="str">
        <f t="shared" si="0"/>
        <v>30.3</v>
      </c>
      <c r="L9" s="7">
        <f t="shared" si="1"/>
        <v>30.3</v>
      </c>
    </row>
    <row r="10" spans="1:12" x14ac:dyDescent="0.3">
      <c r="A10" t="s">
        <v>22</v>
      </c>
      <c r="B10" t="str" cm="1">
        <f t="array" ref="B10:F10">_xlfn.TEXTSPLIT(A10,",")</f>
        <v>5497</v>
      </c>
      <c r="C10" t="str">
        <v>"Elixir de agilidad menor"</v>
      </c>
      <c r="D10" t="str">
        <v>""</v>
      </c>
      <c r="E10" t="str">
        <v>"No"</v>
      </c>
      <c r="F10" t="str">
        <v>132</v>
      </c>
      <c r="G10" t="str" cm="1">
        <f t="array" ref="G10:H10">_xlfn.LET(
 _xlpm.n,LEFT(A10,FIND(",",A10)-1),
 _xlpm.k,_xlfn.SEQUENCE(1,ROUNDUP(LEN(_xlpm.n)/2,0)),
 MID(_xlpm.n,(_xlpm.k-1)*2+1,2)
)</f>
        <v>54</v>
      </c>
      <c r="H10" t="str">
        <v>97</v>
      </c>
      <c r="K10" s="8" t="str">
        <f t="shared" si="0"/>
        <v>54.97</v>
      </c>
      <c r="L10" s="7">
        <f t="shared" si="1"/>
        <v>54.97</v>
      </c>
    </row>
    <row r="11" spans="1:12" x14ac:dyDescent="0.3">
      <c r="A11" t="s">
        <v>23</v>
      </c>
      <c r="B11" t="str" cm="1">
        <f t="array" ref="B11:F11">_xlfn.TEXTSPLIT(A11,",")</f>
        <v>59</v>
      </c>
      <c r="C11" t="str">
        <v>"Elixir de entereza menor"</v>
      </c>
      <c r="D11" t="str">
        <v>""</v>
      </c>
      <c r="E11" t="str">
        <v>"No"</v>
      </c>
      <c r="F11" t="str">
        <v>156</v>
      </c>
      <c r="G11" t="str" cm="1">
        <f t="array" ref="G11">_xlfn.LET(
 _xlpm.n,LEFT(A11,FIND(",",A11)-1),
 _xlpm.k,_xlfn.SEQUENCE(1,ROUNDUP(LEN(_xlpm.n)/2,0)),
 MID(_xlpm.n,(_xlpm.k-1)*2+1,2)
)</f>
        <v>59</v>
      </c>
      <c r="K11" s="8" t="str">
        <f t="shared" si="0"/>
        <v>59.</v>
      </c>
      <c r="L11" s="7">
        <f t="shared" si="1"/>
        <v>59</v>
      </c>
    </row>
    <row r="12" spans="1:12" x14ac:dyDescent="0.3">
      <c r="A12" t="s">
        <v>24</v>
      </c>
      <c r="B12" t="str" cm="1">
        <f t="array" ref="B12:F12">_xlfn.TEXTSPLIT(A12,",")</f>
        <v>1495</v>
      </c>
      <c r="C12" t="str">
        <v>"Elixir de ojo de gato"</v>
      </c>
      <c r="D12" t="str">
        <v>""</v>
      </c>
      <c r="E12" t="str">
        <v>"No"</v>
      </c>
      <c r="F12" t="str">
        <v>165</v>
      </c>
      <c r="G12" t="str" cm="1">
        <f t="array" ref="G12:H12">_xlfn.LET(
 _xlpm.n,LEFT(A12,FIND(",",A12)-1),
 _xlpm.k,_xlfn.SEQUENCE(1,ROUNDUP(LEN(_xlpm.n)/2,0)),
 MID(_xlpm.n,(_xlpm.k-1)*2+1,2)
)</f>
        <v>14</v>
      </c>
      <c r="H12" t="str">
        <v>95</v>
      </c>
      <c r="K12" s="8" t="str">
        <f t="shared" si="0"/>
        <v>14.95</v>
      </c>
      <c r="L12" s="7">
        <f t="shared" si="1"/>
        <v>14.95</v>
      </c>
    </row>
    <row r="13" spans="1:12" x14ac:dyDescent="0.3">
      <c r="A13" t="s">
        <v>25</v>
      </c>
      <c r="B13" t="str" cm="1">
        <f t="array" ref="B13:F13">_xlfn.TEXTSPLIT(A13,",")</f>
        <v>841</v>
      </c>
      <c r="C13" t="str">
        <v>"Elixir de detección de invisibilidad inferior"</v>
      </c>
      <c r="D13" t="str">
        <v>""</v>
      </c>
      <c r="E13" t="str">
        <v>"No"</v>
      </c>
      <c r="F13" t="str">
        <v>181</v>
      </c>
      <c r="G13" t="str" cm="1">
        <f t="array" ref="G13:H13">_xlfn.LET(
 _xlpm.n,LEFT(A13,FIND(",",A13)-1),
 _xlpm.k,_xlfn.SEQUENCE(1,ROUNDUP(LEN(_xlpm.n)/2,0)),
 MID(_xlpm.n,(_xlpm.k-1)*2+1,2)
)</f>
        <v>84</v>
      </c>
      <c r="H13" t="str">
        <v>1</v>
      </c>
      <c r="K13" s="8" t="str">
        <f t="shared" si="0"/>
        <v>84.1</v>
      </c>
      <c r="L13" s="7">
        <f t="shared" si="1"/>
        <v>84.1</v>
      </c>
    </row>
    <row r="14" spans="1:12" x14ac:dyDescent="0.3">
      <c r="A14" t="s">
        <v>26</v>
      </c>
      <c r="B14" t="str" cm="1">
        <f t="array" ref="B14:F14">_xlfn.TEXTSPLIT(A14,",")</f>
        <v>7447</v>
      </c>
      <c r="C14" t="str">
        <v>"Elixir de agilidad inferior"</v>
      </c>
      <c r="D14" t="str">
        <v>""</v>
      </c>
      <c r="E14" t="str">
        <v>"No"</v>
      </c>
      <c r="F14" t="str">
        <v>208</v>
      </c>
      <c r="G14" t="str" cm="1">
        <f t="array" ref="G14:H14">_xlfn.LET(
 _xlpm.n,LEFT(A14,FIND(",",A14)-1),
 _xlpm.k,_xlfn.SEQUENCE(1,ROUNDUP(LEN(_xlpm.n)/2,0)),
 MID(_xlpm.n,(_xlpm.k-1)*2+1,2)
)</f>
        <v>74</v>
      </c>
      <c r="H14" t="str">
        <v>47</v>
      </c>
      <c r="K14" s="8" t="str">
        <f t="shared" si="0"/>
        <v>74.47</v>
      </c>
      <c r="L14" s="7">
        <f t="shared" si="1"/>
        <v>74.47</v>
      </c>
    </row>
    <row r="15" spans="1:12" x14ac:dyDescent="0.3">
      <c r="A15" t="s">
        <v>27</v>
      </c>
      <c r="B15" t="str" cm="1">
        <f t="array" ref="B15:F15">_xlfn.TEXTSPLIT(A15,",")</f>
        <v>4582</v>
      </c>
      <c r="C15" t="str">
        <v>"Elixir de poder de Fuego superior"</v>
      </c>
      <c r="D15" t="str">
        <v>""</v>
      </c>
      <c r="E15" t="str">
        <v>"No"</v>
      </c>
      <c r="F15" t="str">
        <v>213</v>
      </c>
      <c r="G15" t="str" cm="1">
        <f t="array" ref="G15:H15">_xlfn.LET(
 _xlpm.n,LEFT(A15,FIND(",",A15)-1),
 _xlpm.k,_xlfn.SEQUENCE(1,ROUNDUP(LEN(_xlpm.n)/2,0)),
 MID(_xlpm.n,(_xlpm.k-1)*2+1,2)
)</f>
        <v>45</v>
      </c>
      <c r="H15" t="str">
        <v>82</v>
      </c>
      <c r="K15" s="8" t="str">
        <f t="shared" si="0"/>
        <v>45.82</v>
      </c>
      <c r="L15" s="7">
        <f t="shared" si="1"/>
        <v>45.82</v>
      </c>
    </row>
    <row r="16" spans="1:12" x14ac:dyDescent="0.3">
      <c r="A16" t="s">
        <v>28</v>
      </c>
      <c r="B16" t="str" cm="1">
        <f t="array" ref="B16:F16">_xlfn.TEXTSPLIT(A16,",")</f>
        <v>3490</v>
      </c>
      <c r="C16" t="str">
        <v>"Elixir Arcano"</v>
      </c>
      <c r="D16" t="str">
        <v>""</v>
      </c>
      <c r="E16" t="str">
        <v>"No"</v>
      </c>
      <c r="F16" t="str">
        <v>221</v>
      </c>
      <c r="G16" t="str" cm="1">
        <f t="array" ref="G16:H16">_xlfn.LET(
 _xlpm.n,LEFT(A16,FIND(",",A16)-1),
 _xlpm.k,_xlfn.SEQUENCE(1,ROUNDUP(LEN(_xlpm.n)/2,0)),
 MID(_xlpm.n,(_xlpm.k-1)*2+1,2)
)</f>
        <v>34</v>
      </c>
      <c r="H16" t="str">
        <v>90</v>
      </c>
      <c r="K16" s="8" t="str">
        <f t="shared" si="0"/>
        <v>34.90</v>
      </c>
      <c r="L16" s="7">
        <f t="shared" si="1"/>
        <v>34.9</v>
      </c>
    </row>
    <row r="17" spans="1:12" x14ac:dyDescent="0.3">
      <c r="A17" t="s">
        <v>29</v>
      </c>
      <c r="B17" t="str" cm="1">
        <f t="array" ref="B17:F17">_xlfn.TEXTSPLIT(A17,",")</f>
        <v>1154</v>
      </c>
      <c r="C17" t="str">
        <v>"Elixir de defensa"</v>
      </c>
      <c r="D17" t="str">
        <v>""</v>
      </c>
      <c r="E17" t="str">
        <v>"No"</v>
      </c>
      <c r="F17" t="str">
        <v>221</v>
      </c>
      <c r="G17" t="str" cm="1">
        <f t="array" ref="G17:H17">_xlfn.LET(
 _xlpm.n,LEFT(A17,FIND(",",A17)-1),
 _xlpm.k,_xlfn.SEQUENCE(1,ROUNDUP(LEN(_xlpm.n)/2,0)),
 MID(_xlpm.n,(_xlpm.k-1)*2+1,2)
)</f>
        <v>11</v>
      </c>
      <c r="H17" t="str">
        <v>54</v>
      </c>
      <c r="K17" s="8" t="str">
        <f t="shared" si="0"/>
        <v>11.54</v>
      </c>
      <c r="L17" s="7">
        <f t="shared" si="1"/>
        <v>11.54</v>
      </c>
    </row>
    <row r="18" spans="1:12" x14ac:dyDescent="0.3">
      <c r="A18" t="s">
        <v>30</v>
      </c>
      <c r="B18" t="str" cm="1">
        <f t="array" ref="B18:F18">_xlfn.TEXTSPLIT(A18,",")</f>
        <v>941</v>
      </c>
      <c r="C18" t="str">
        <v>"Elixir de poder de Escarcha"</v>
      </c>
      <c r="D18" t="str">
        <v>""</v>
      </c>
      <c r="E18" t="str">
        <v>"No"</v>
      </c>
      <c r="F18" t="str">
        <v>234</v>
      </c>
      <c r="G18" t="str" cm="1">
        <f t="array" ref="G18:H18">_xlfn.LET(
 _xlpm.n,LEFT(A18,FIND(",",A18)-1),
 _xlpm.k,_xlfn.SEQUENCE(1,ROUNDUP(LEN(_xlpm.n)/2,0)),
 MID(_xlpm.n,(_xlpm.k-1)*2+1,2)
)</f>
        <v>94</v>
      </c>
      <c r="H18" t="str">
        <v>1</v>
      </c>
      <c r="K18" s="8" t="str">
        <f t="shared" si="0"/>
        <v>94.1</v>
      </c>
      <c r="L18" s="7">
        <f t="shared" si="1"/>
        <v>94.1</v>
      </c>
    </row>
    <row r="19" spans="1:12" x14ac:dyDescent="0.3">
      <c r="A19" t="s">
        <v>31</v>
      </c>
      <c r="B19" t="str" cm="1">
        <f t="array" ref="B19:F19">_xlfn.TEXTSPLIT(A19,",")</f>
        <v>9694</v>
      </c>
      <c r="C19" t="str">
        <v>"Elixir de fuerza bruta"</v>
      </c>
      <c r="D19" t="str">
        <v>""</v>
      </c>
      <c r="E19" t="str">
        <v>"No"</v>
      </c>
      <c r="F19" t="str">
        <v>239</v>
      </c>
      <c r="G19" t="str" cm="1">
        <f t="array" ref="G19:H19">_xlfn.LET(
 _xlpm.n,LEFT(A19,FIND(",",A19)-1),
 _xlpm.k,_xlfn.SEQUENCE(1,ROUNDUP(LEN(_xlpm.n)/2,0)),
 MID(_xlpm.n,(_xlpm.k-1)*2+1,2)
)</f>
        <v>96</v>
      </c>
      <c r="H19" t="str">
        <v>94</v>
      </c>
      <c r="K19" s="8" t="str">
        <f t="shared" si="0"/>
        <v>96.94</v>
      </c>
      <c r="L19" s="7">
        <f t="shared" si="1"/>
        <v>96.94</v>
      </c>
    </row>
    <row r="20" spans="1:12" x14ac:dyDescent="0.3">
      <c r="A20" t="s">
        <v>32</v>
      </c>
      <c r="B20" t="str" cm="1">
        <f t="array" ref="B20:F20">_xlfn.TEXTSPLIT(A20,",")</f>
        <v>5619</v>
      </c>
      <c r="C20" t="str">
        <v>"Elixir de defensa excelente"</v>
      </c>
      <c r="D20" t="str">
        <v>""</v>
      </c>
      <c r="E20" t="str">
        <v>"No"</v>
      </c>
      <c r="F20" t="str">
        <v>272</v>
      </c>
      <c r="G20" t="str" cm="1">
        <f t="array" ref="G20:H20">_xlfn.LET(
 _xlpm.n,LEFT(A20,FIND(",",A20)-1),
 _xlpm.k,_xlfn.SEQUENCE(1,ROUNDUP(LEN(_xlpm.n)/2,0)),
 MID(_xlpm.n,(_xlpm.k-1)*2+1,2)
)</f>
        <v>56</v>
      </c>
      <c r="H20" t="str">
        <v>19</v>
      </c>
      <c r="K20" s="8" t="str">
        <f t="shared" si="0"/>
        <v>56.19</v>
      </c>
      <c r="L20" s="7">
        <f t="shared" si="1"/>
        <v>56.19</v>
      </c>
    </row>
    <row r="21" spans="1:12" x14ac:dyDescent="0.3">
      <c r="A21" t="s">
        <v>33</v>
      </c>
      <c r="B21" t="str" cm="1">
        <f t="array" ref="B21:F21">_xlfn.TEXTSPLIT(A21,",")</f>
        <v>446</v>
      </c>
      <c r="C21" t="str">
        <v>"Elixir de agilidad"</v>
      </c>
      <c r="D21" t="str">
        <v>""</v>
      </c>
      <c r="E21" t="str">
        <v>"No"</v>
      </c>
      <c r="F21" t="str">
        <v>287</v>
      </c>
      <c r="G21" t="str" cm="1">
        <f t="array" ref="G21:H21">_xlfn.LET(
 _xlpm.n,LEFT(A21,FIND(",",A21)-1),
 _xlpm.k,_xlfn.SEQUENCE(1,ROUNDUP(LEN(_xlpm.n)/2,0)),
 MID(_xlpm.n,(_xlpm.k-1)*2+1,2)
)</f>
        <v>44</v>
      </c>
      <c r="H21" t="str">
        <v>6</v>
      </c>
      <c r="K21" s="8" t="str">
        <f t="shared" si="0"/>
        <v>44.6</v>
      </c>
      <c r="L21" s="7">
        <f t="shared" si="1"/>
        <v>44.6</v>
      </c>
    </row>
    <row r="22" spans="1:12" x14ac:dyDescent="0.3">
      <c r="A22" t="s">
        <v>34</v>
      </c>
      <c r="B22" t="str" cm="1">
        <f t="array" ref="B22:F22">_xlfn.TEXTSPLIT(A22,",")</f>
        <v>672</v>
      </c>
      <c r="C22" t="str">
        <v>"Elixir de fuerza de ogro"</v>
      </c>
      <c r="D22" t="str">
        <v>""</v>
      </c>
      <c r="E22" t="str">
        <v>"No"</v>
      </c>
      <c r="F22" t="str">
        <v>300</v>
      </c>
      <c r="G22" t="str" cm="1">
        <f t="array" ref="G22:H22">_xlfn.LET(
 _xlpm.n,LEFT(A22,FIND(",",A22)-1),
 _xlpm.k,_xlfn.SEQUENCE(1,ROUNDUP(LEN(_xlpm.n)/2,0)),
 MID(_xlpm.n,(_xlpm.k-1)*2+1,2)
)</f>
        <v>67</v>
      </c>
      <c r="H22" t="str">
        <v>2</v>
      </c>
      <c r="K22" s="8" t="str">
        <f t="shared" si="0"/>
        <v>67.2</v>
      </c>
      <c r="L22" s="7">
        <f t="shared" si="1"/>
        <v>67.2</v>
      </c>
    </row>
    <row r="23" spans="1:12" x14ac:dyDescent="0.3">
      <c r="A23" t="s">
        <v>35</v>
      </c>
      <c r="B23" t="str" cm="1">
        <f t="array" ref="B23:F23">_xlfn.TEXTSPLIT(A23,",")</f>
        <v>542</v>
      </c>
      <c r="C23" t="str">
        <v>"Elixir de fuerza de león"</v>
      </c>
      <c r="D23" t="str">
        <v>""</v>
      </c>
      <c r="E23" t="str">
        <v>"No"</v>
      </c>
      <c r="F23" t="str">
        <v>374</v>
      </c>
      <c r="G23" t="str" cm="1">
        <f t="array" ref="G23:H23">_xlfn.LET(
 _xlpm.n,LEFT(A23,FIND(",",A23)-1),
 _xlpm.k,_xlfn.SEQUENCE(1,ROUNDUP(LEN(_xlpm.n)/2,0)),
 MID(_xlpm.n,(_xlpm.k-1)*2+1,2)
)</f>
        <v>54</v>
      </c>
      <c r="H23" t="str">
        <v>2</v>
      </c>
      <c r="K23" s="8" t="str">
        <f t="shared" si="0"/>
        <v>54.2</v>
      </c>
      <c r="L23" s="7">
        <f t="shared" si="1"/>
        <v>54.2</v>
      </c>
    </row>
    <row r="24" spans="1:12" x14ac:dyDescent="0.3">
      <c r="A24" t="s">
        <v>36</v>
      </c>
      <c r="B24" t="str" cm="1">
        <f t="array" ref="B24:F24">_xlfn.TEXTSPLIT(A24,",")</f>
        <v>695</v>
      </c>
      <c r="C24" t="str">
        <v>"Elixir de sabiduría"</v>
      </c>
      <c r="D24" t="str">
        <v>""</v>
      </c>
      <c r="E24" t="str">
        <v>"No"</v>
      </c>
      <c r="F24" t="str">
        <v>387</v>
      </c>
      <c r="G24" t="str" cm="1">
        <f t="array" ref="G24:H24">_xlfn.LET(
 _xlpm.n,LEFT(A24,FIND(",",A24)-1),
 _xlpm.k,_xlfn.SEQUENCE(1,ROUNDUP(LEN(_xlpm.n)/2,0)),
 MID(_xlpm.n,(_xlpm.k-1)*2+1,2)
)</f>
        <v>69</v>
      </c>
      <c r="H24" t="str">
        <v>5</v>
      </c>
      <c r="K24" s="8" t="str">
        <f t="shared" si="0"/>
        <v>69.5</v>
      </c>
      <c r="L24" s="7">
        <f t="shared" si="1"/>
        <v>69.5</v>
      </c>
    </row>
    <row r="25" spans="1:12" x14ac:dyDescent="0.3">
      <c r="A25" t="s">
        <v>37</v>
      </c>
      <c r="B25" t="str" cm="1">
        <f t="array" ref="B25:F25">_xlfn.TEXTSPLIT(A25,",")</f>
        <v>999</v>
      </c>
      <c r="C25" t="str">
        <v>"Aguardiente Nevada"</v>
      </c>
      <c r="D25" t="str">
        <v>""</v>
      </c>
      <c r="E25" t="str">
        <v>"No"</v>
      </c>
      <c r="F25" t="str">
        <v>429</v>
      </c>
      <c r="G25" t="str" cm="1">
        <f t="array" ref="G25:H25">_xlfn.LET(
 _xlpm.n,LEFT(A25,FIND(",",A25)-1),
 _xlpm.k,_xlfn.SEQUENCE(1,ROUNDUP(LEN(_xlpm.n)/2,0)),
 MID(_xlpm.n,(_xlpm.k-1)*2+1,2)
)</f>
        <v>99</v>
      </c>
      <c r="H25" t="str">
        <v>9</v>
      </c>
      <c r="K25" s="8" t="str">
        <f t="shared" si="0"/>
        <v>99.9</v>
      </c>
      <c r="L25" s="7">
        <f t="shared" si="1"/>
        <v>99.9</v>
      </c>
    </row>
    <row r="26" spans="1:12" x14ac:dyDescent="0.3">
      <c r="A26" t="s">
        <v>38</v>
      </c>
      <c r="B26" t="str" cm="1">
        <f t="array" ref="B26:F26">_xlfn.TEXTSPLIT(A26,",")</f>
        <v>3090</v>
      </c>
      <c r="C26" t="str">
        <v>"Elixir de gigantes"</v>
      </c>
      <c r="D26" t="str">
        <v>""</v>
      </c>
      <c r="E26" t="str">
        <v>"No"</v>
      </c>
      <c r="F26" t="str">
        <v>435</v>
      </c>
      <c r="G26" t="str" cm="1">
        <f t="array" ref="G26:H26">_xlfn.LET(
 _xlpm.n,LEFT(A26,FIND(",",A26)-1),
 _xlpm.k,_xlfn.SEQUENCE(1,ROUNDUP(LEN(_xlpm.n)/2,0)),
 MID(_xlpm.n,(_xlpm.k-1)*2+1,2)
)</f>
        <v>30</v>
      </c>
      <c r="H26" t="str">
        <v>90</v>
      </c>
      <c r="K26" s="8" t="str">
        <f t="shared" si="0"/>
        <v>30.90</v>
      </c>
      <c r="L26" s="7">
        <f t="shared" si="1"/>
        <v>30.9</v>
      </c>
    </row>
    <row r="27" spans="1:12" x14ac:dyDescent="0.3">
      <c r="A27" t="s">
        <v>39</v>
      </c>
    </row>
    <row r="28" spans="1:12" x14ac:dyDescent="0.3">
      <c r="A28" t="s">
        <v>40</v>
      </c>
    </row>
    <row r="29" spans="1:12" x14ac:dyDescent="0.3">
      <c r="A29" t="s">
        <v>41</v>
      </c>
    </row>
    <row r="30" spans="1:12" x14ac:dyDescent="0.3">
      <c r="A30" t="s">
        <v>42</v>
      </c>
    </row>
    <row r="31" spans="1:12" x14ac:dyDescent="0.3">
      <c r="A31" t="s">
        <v>43</v>
      </c>
    </row>
    <row r="32" spans="1:12" x14ac:dyDescent="0.3">
      <c r="A32" t="s">
        <v>44</v>
      </c>
    </row>
    <row r="33" spans="1:1" x14ac:dyDescent="0.3">
      <c r="A33" t="s">
        <v>45</v>
      </c>
    </row>
    <row r="34" spans="1:1" x14ac:dyDescent="0.3">
      <c r="A34" t="s">
        <v>46</v>
      </c>
    </row>
    <row r="35" spans="1:1" x14ac:dyDescent="0.3">
      <c r="A35" t="s">
        <v>47</v>
      </c>
    </row>
    <row r="36" spans="1:1" x14ac:dyDescent="0.3">
      <c r="A36" t="s">
        <v>48</v>
      </c>
    </row>
    <row r="37" spans="1:1" x14ac:dyDescent="0.3">
      <c r="A37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34FCD-718B-43ED-9766-405E6EC8133D}">
  <dimension ref="A1:M8"/>
  <sheetViews>
    <sheetView tabSelected="1" workbookViewId="0">
      <selection activeCell="D14" sqref="D14"/>
    </sheetView>
  </sheetViews>
  <sheetFormatPr defaultRowHeight="15.05" x14ac:dyDescent="0.3"/>
  <cols>
    <col min="1" max="1" width="22.44140625" bestFit="1" customWidth="1"/>
    <col min="2" max="2" width="10" style="1" bestFit="1" customWidth="1"/>
    <col min="3" max="3" width="13.109375" style="1" bestFit="1" customWidth="1"/>
    <col min="4" max="4" width="13.44140625" bestFit="1" customWidth="1"/>
    <col min="5" max="5" width="12" bestFit="1" customWidth="1"/>
    <col min="6" max="6" width="9.6640625" bestFit="1" customWidth="1"/>
    <col min="7" max="7" width="9.88671875" bestFit="1" customWidth="1"/>
    <col min="8" max="8" width="13.88671875" bestFit="1" customWidth="1"/>
    <col min="9" max="9" width="12.44140625" bestFit="1" customWidth="1"/>
  </cols>
  <sheetData>
    <row r="1" spans="1:13" x14ac:dyDescent="0.3">
      <c r="A1" s="2" t="s">
        <v>0</v>
      </c>
      <c r="B1" s="1" t="s">
        <v>1</v>
      </c>
      <c r="C1" s="1" t="s">
        <v>6</v>
      </c>
      <c r="D1" s="1" t="s">
        <v>7</v>
      </c>
      <c r="E1" s="5" t="s">
        <v>9</v>
      </c>
      <c r="F1" s="1" t="s">
        <v>2</v>
      </c>
      <c r="G1" s="1" t="s">
        <v>54</v>
      </c>
      <c r="H1" s="1" t="s">
        <v>53</v>
      </c>
      <c r="I1" s="1" t="s">
        <v>55</v>
      </c>
    </row>
    <row r="2" spans="1:13" x14ac:dyDescent="0.3">
      <c r="A2" t="s">
        <v>4</v>
      </c>
      <c r="B2" s="3">
        <v>0.03</v>
      </c>
      <c r="C2" s="3">
        <v>0.01</v>
      </c>
      <c r="D2" s="3">
        <v>0.14000000000000001</v>
      </c>
      <c r="E2" s="4">
        <v>100</v>
      </c>
      <c r="F2" s="9">
        <v>46044</v>
      </c>
      <c r="G2" s="10">
        <f>((Table17[[#This Row],[Precio Max]]-Table17[[#This Row],[Precio]])/Table17[[#This Row],[Precio]])</f>
        <v>3.6666666666666674</v>
      </c>
      <c r="H2" s="10">
        <f>(Table17[[#This Row],[Precio Max]]-Table17[[#This Row],[Precio Min]])/Table17[[#This Row],[Precio Min]]</f>
        <v>13</v>
      </c>
      <c r="I2" s="12">
        <f>((1-(Table17[[#This Row],[Cantidad]]/MAX(Table17[Cantidad])))*0.35)+((Table17[[#This Row],[% Hoy]]/MAX(Table17[% Hoy]))*0.3)+((Table17[[#This Row],[% Historico]]/MAX(Table17[% Historico]))*0.35)</f>
        <v>0.81245338229387798</v>
      </c>
    </row>
    <row r="3" spans="1:13" x14ac:dyDescent="0.3">
      <c r="A3" t="s">
        <v>5</v>
      </c>
      <c r="B3" s="3">
        <v>0.09</v>
      </c>
      <c r="C3" s="3">
        <v>0.09</v>
      </c>
      <c r="D3" s="3">
        <v>0.67</v>
      </c>
      <c r="E3" s="4">
        <v>234</v>
      </c>
      <c r="F3" s="9">
        <v>46044</v>
      </c>
      <c r="G3" s="10">
        <f>((Table17[[#This Row],[Precio Max]]-Table17[[#This Row],[Precio]])/Table17[[#This Row],[Precio]])</f>
        <v>6.4444444444444455</v>
      </c>
      <c r="H3" s="10">
        <f>(Table17[[#This Row],[Precio Max]]-Table17[[#This Row],[Precio Min]])/Table17[[#This Row],[Precio Min]]</f>
        <v>6.4444444444444455</v>
      </c>
      <c r="I3" s="12">
        <f>((1-(Table17[[#This Row],[Cantidad]]/MAX(Table17[Cantidad])))*0.35)+((Table17[[#This Row],[% Hoy]]/MAX(Table17[% Hoy]))*0.3)+((Table17[[#This Row],[% Historico]]/MAX(Table17[% Historico]))*0.35)</f>
        <v>0.68723139496849983</v>
      </c>
      <c r="M3" s="11"/>
    </row>
    <row r="4" spans="1:13" x14ac:dyDescent="0.3">
      <c r="A4" t="s">
        <v>3</v>
      </c>
      <c r="B4" s="3">
        <v>2.17</v>
      </c>
      <c r="C4" s="3">
        <v>0.99</v>
      </c>
      <c r="D4" s="3">
        <v>2.17</v>
      </c>
      <c r="E4" s="4">
        <v>53</v>
      </c>
      <c r="F4" s="9">
        <v>46044</v>
      </c>
      <c r="G4" s="10">
        <f>((Table17[[#This Row],[Precio Max]]-Table17[[#This Row],[Precio]])/Table17[[#This Row],[Precio]])</f>
        <v>0</v>
      </c>
      <c r="H4" s="10">
        <f>(Table17[[#This Row],[Precio Max]]-Table17[[#This Row],[Precio Min]])/Table17[[#This Row],[Precio Min]]</f>
        <v>1.1919191919191918</v>
      </c>
      <c r="I4" s="12">
        <f>((1-(Table17[[#This Row],[Cantidad]]/MAX(Table17[Cantidad])))*0.35)+((Table17[[#This Row],[% Hoy]]/MAX(Table17[% Hoy]))*0.3)+((Table17[[#This Row],[% Historico]]/MAX(Table17[% Historico]))*0.35)</f>
        <v>0.35122490746450807</v>
      </c>
      <c r="M4" s="11"/>
    </row>
    <row r="5" spans="1:13" x14ac:dyDescent="0.3">
      <c r="A5" t="s">
        <v>11</v>
      </c>
      <c r="B5" s="3">
        <v>0.09</v>
      </c>
      <c r="C5" s="3">
        <v>0.09</v>
      </c>
      <c r="D5" s="3">
        <v>0.49</v>
      </c>
      <c r="E5" s="4">
        <v>429</v>
      </c>
      <c r="F5" s="9">
        <v>46044</v>
      </c>
      <c r="G5" s="10">
        <f>((Table17[[#This Row],[Precio Max]]-Table17[[#This Row],[Precio]])/Table17[[#This Row],[Precio]])</f>
        <v>4.4444444444444446</v>
      </c>
      <c r="H5" s="10">
        <f>(Table17[[#This Row],[Precio Max]]-Table17[[#This Row],[Precio Min]])/Table17[[#This Row],[Precio Min]]</f>
        <v>4.4444444444444446</v>
      </c>
      <c r="I5" s="12">
        <f>((1-(Table17[[#This Row],[Cantidad]]/MAX(Table17[Cantidad])))*0.35)+((Table17[[#This Row],[% Hoy]]/MAX(Table17[% Hoy]))*0.3)+((Table17[[#This Row],[% Historico]]/MAX(Table17[% Historico]))*0.35)</f>
        <v>0.42672106073333904</v>
      </c>
      <c r="M5" s="11"/>
    </row>
    <row r="6" spans="1:13" x14ac:dyDescent="0.3">
      <c r="A6" t="s">
        <v>8</v>
      </c>
      <c r="B6" s="3">
        <v>0.96</v>
      </c>
      <c r="C6" s="3">
        <v>0.96</v>
      </c>
      <c r="D6" s="3">
        <v>2.29</v>
      </c>
      <c r="E6" s="4">
        <v>239</v>
      </c>
      <c r="F6" s="9">
        <v>46044</v>
      </c>
      <c r="G6" s="10">
        <f>((Table17[[#This Row],[Precio Max]]-Table17[[#This Row],[Precio]])/Table17[[#This Row],[Precio]])</f>
        <v>1.3854166666666667</v>
      </c>
      <c r="H6" s="10">
        <f>(Table17[[#This Row],[Precio Max]]-Table17[[#This Row],[Precio Min]])/Table17[[#This Row],[Precio Min]]</f>
        <v>1.3854166666666667</v>
      </c>
      <c r="I6" s="12">
        <f>((1-(Table17[[#This Row],[Cantidad]]/MAX(Table17[Cantidad])))*0.35)+((Table17[[#This Row],[% Hoy]]/MAX(Table17[% Hoy]))*0.3)+((Table17[[#This Row],[% Historico]]/MAX(Table17[% Historico]))*0.35)</f>
        <v>0.31260852179023763</v>
      </c>
    </row>
    <row r="7" spans="1:13" x14ac:dyDescent="0.3">
      <c r="A7" t="s">
        <v>10</v>
      </c>
      <c r="B7" s="3">
        <v>0.56000000000000005</v>
      </c>
      <c r="C7" s="3">
        <v>0.55000000000000004</v>
      </c>
      <c r="D7" s="3">
        <v>1.29</v>
      </c>
      <c r="E7" s="4">
        <v>272</v>
      </c>
      <c r="F7" s="9">
        <v>46044</v>
      </c>
      <c r="G7" s="10">
        <f>((Table17[[#This Row],[Precio Max]]-Table17[[#This Row],[Precio]])/Table17[[#This Row],[Precio]])</f>
        <v>1.3035714285714284</v>
      </c>
      <c r="H7" s="10">
        <f>(Table17[[#This Row],[Precio Max]]-Table17[[#This Row],[Precio Min]])/Table17[[#This Row],[Precio Min]]</f>
        <v>1.3454545454545452</v>
      </c>
      <c r="I7" s="12">
        <f>((1-(Table17[[#This Row],[Cantidad]]/MAX(Table17[Cantidad])))*0.35)+((Table17[[#This Row],[% Hoy]]/MAX(Table17[% Hoy]))*0.3)+((Table17[[#This Row],[% Historico]]/MAX(Table17[% Historico]))*0.35)</f>
        <v>0.28850461153110468</v>
      </c>
    </row>
    <row r="8" spans="1:13" x14ac:dyDescent="0.3">
      <c r="A8" t="s">
        <v>12</v>
      </c>
      <c r="B8" s="3">
        <v>0.24</v>
      </c>
      <c r="C8" s="3">
        <v>0.24</v>
      </c>
      <c r="D8" s="3">
        <v>1.1399999999999999</v>
      </c>
      <c r="E8" s="4">
        <v>601</v>
      </c>
      <c r="F8" s="9">
        <v>46044</v>
      </c>
      <c r="G8" s="10">
        <f>((Table17[[#This Row],[Precio Max]]-Table17[[#This Row],[Precio]])/Table17[[#This Row],[Precio]])</f>
        <v>3.7499999999999996</v>
      </c>
      <c r="H8" s="10">
        <f>(Table17[[#This Row],[Precio Max]]-Table17[[#This Row],[Precio Min]])/Table17[[#This Row],[Precio Min]]</f>
        <v>3.7499999999999996</v>
      </c>
      <c r="I8" s="12">
        <f>((1-(Table17[[#This Row],[Cantidad]]/MAX(Table17[Cantidad])))*0.35)+((Table17[[#This Row],[% Hoy]]/MAX(Table17[% Hoy]))*0.3)+((Table17[[#This Row],[% Historico]]/MAX(Table17[% Historico]))*0.35)</f>
        <v>0.27553050397877976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Ranking</vt:lpstr>
      <vt:lpstr>Compras</vt:lpstr>
      <vt:lpstr>Pendiente a precio</vt:lpstr>
      <vt:lpstr>Cleaning</vt:lpstr>
      <vt:lpstr>TBC Ranking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a10022</dc:creator>
  <cp:lastModifiedBy>a10022</cp:lastModifiedBy>
  <dcterms:created xsi:type="dcterms:W3CDTF">2026-01-22T08:00:26Z</dcterms:created>
  <dcterms:modified xsi:type="dcterms:W3CDTF">2026-02-06T19:06:16Z</dcterms:modified>
</cp:coreProperties>
</file>