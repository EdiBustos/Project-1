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tev\Desktop\"/>
    </mc:Choice>
  </mc:AlternateContent>
  <xr:revisionPtr revIDLastSave="0" documentId="13_ncr:1_{FA03B82B-55A7-452E-B870-F63C3F79FD4C}" xr6:coauthVersionLast="47" xr6:coauthVersionMax="47" xr10:uidLastSave="{00000000-0000-0000-0000-000000000000}"/>
  <bookViews>
    <workbookView xWindow="-118" yWindow="-118" windowWidth="25370" windowHeight="13667" firstSheet="1" activeTab="1" xr2:uid="{94EF258E-5581-4690-9217-0DAFCF98E4E3}"/>
  </bookViews>
  <sheets>
    <sheet name="Sheet1" sheetId="1" state="hidden" r:id="rId1"/>
    <sheet name="Gastos" sheetId="3" r:id="rId2"/>
    <sheet name="Gastos Mensuales Casa" sheetId="7" r:id="rId3"/>
    <sheet name="Schedule (3)" sheetId="6" r:id="rId4"/>
    <sheet name="Schedule (2)" sheetId="5" r:id="rId5"/>
    <sheet name="Schedule" sheetId="2" r:id="rId6"/>
  </sheets>
  <definedNames>
    <definedName name="_xlnm._FilterDatabase" localSheetId="1" hidden="1">Gastos!$H$1:$I$1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10" i="7"/>
  <c r="B22" i="6"/>
  <c r="B26" i="6" s="1"/>
  <c r="H6" i="6"/>
  <c r="B26" i="5"/>
  <c r="B23" i="5"/>
  <c r="B22" i="5"/>
  <c r="H6" i="5"/>
  <c r="H15" i="3"/>
  <c r="B26" i="2"/>
  <c r="B24" i="2"/>
  <c r="E9" i="3" l="1"/>
  <c r="B10" i="3"/>
  <c r="A13" i="3" s="1"/>
  <c r="H6" i="2"/>
  <c r="H6" i="1"/>
  <c r="A16" i="3" l="1"/>
  <c r="B13" i="3"/>
  <c r="D12" i="3"/>
  <c r="D15" i="3" s="1"/>
  <c r="E12" i="3" l="1"/>
</calcChain>
</file>

<file path=xl/sharedStrings.xml><?xml version="1.0" encoding="utf-8"?>
<sst xmlns="http://schemas.openxmlformats.org/spreadsheetml/2006/main" count="224" uniqueCount="73">
  <si>
    <t>Lunes</t>
  </si>
  <si>
    <t>Martes</t>
  </si>
  <si>
    <t>Miercoles</t>
  </si>
  <si>
    <t>Jueves</t>
  </si>
  <si>
    <t>Viernes</t>
  </si>
  <si>
    <t>Sabado</t>
  </si>
  <si>
    <t>Domingo</t>
  </si>
  <si>
    <t>12pm - 10 pm</t>
  </si>
  <si>
    <t>OFF</t>
  </si>
  <si>
    <t>Levantarme</t>
  </si>
  <si>
    <t>Salir</t>
  </si>
  <si>
    <t>Llegada</t>
  </si>
  <si>
    <t xml:space="preserve">Acostarme </t>
  </si>
  <si>
    <t>Pesas</t>
  </si>
  <si>
    <t>Juegos</t>
  </si>
  <si>
    <t>Compras Online</t>
  </si>
  <si>
    <t>Belleza</t>
  </si>
  <si>
    <t>Productivo + Ideas Alejo</t>
  </si>
  <si>
    <t>Cine</t>
  </si>
  <si>
    <t>Estudio</t>
  </si>
  <si>
    <t>Compras</t>
  </si>
  <si>
    <t>Series</t>
  </si>
  <si>
    <t>Organizar cuarto</t>
  </si>
  <si>
    <t>Gym</t>
  </si>
  <si>
    <t>Nadar</t>
  </si>
  <si>
    <t>1pm - 10pm</t>
  </si>
  <si>
    <t>9am - 6pm</t>
  </si>
  <si>
    <t>9am - 5pm</t>
  </si>
  <si>
    <t>Productivo + Ideas Jefferson</t>
  </si>
  <si>
    <t>Mercado</t>
  </si>
  <si>
    <t>Pochis</t>
  </si>
  <si>
    <t>Icetex</t>
  </si>
  <si>
    <t>Transporte</t>
  </si>
  <si>
    <t>Gasto actual</t>
  </si>
  <si>
    <t>$</t>
  </si>
  <si>
    <t>Comida</t>
  </si>
  <si>
    <t>Servicios (Internet + Datos + LuzAguaGas+Max)</t>
  </si>
  <si>
    <t>Extras (Salidas)</t>
  </si>
  <si>
    <t>Sum</t>
  </si>
  <si>
    <t>Arriendo Amoblado</t>
  </si>
  <si>
    <t>Nevera</t>
  </si>
  <si>
    <t>Lavadora</t>
  </si>
  <si>
    <t>Cocina</t>
  </si>
  <si>
    <t>Microhondas</t>
  </si>
  <si>
    <t>Libre</t>
  </si>
  <si>
    <t>Trabajo</t>
  </si>
  <si>
    <t>Sueño</t>
  </si>
  <si>
    <t>total</t>
  </si>
  <si>
    <t>Mensual Ma</t>
  </si>
  <si>
    <t>Año</t>
  </si>
  <si>
    <t>Servicios (Internet(80) + Datos(30) + Luz(80)Agua(45)Gas(20)+Max)</t>
  </si>
  <si>
    <t>8am - 5pm</t>
  </si>
  <si>
    <t>Sábado</t>
  </si>
  <si>
    <t>L-V</t>
  </si>
  <si>
    <t>Productivo + Ideas</t>
  </si>
  <si>
    <t>8am - 6pm</t>
  </si>
  <si>
    <t>Gastos Casa</t>
  </si>
  <si>
    <t>Internet</t>
  </si>
  <si>
    <t>Luz</t>
  </si>
  <si>
    <t>Agua</t>
  </si>
  <si>
    <t>Gas</t>
  </si>
  <si>
    <t>Costo Mensual</t>
  </si>
  <si>
    <t>Responsable</t>
  </si>
  <si>
    <t>Steven</t>
  </si>
  <si>
    <t>Arriendo1</t>
  </si>
  <si>
    <t>Arriendo2</t>
  </si>
  <si>
    <t>Mencha</t>
  </si>
  <si>
    <t>Row Labels</t>
  </si>
  <si>
    <t>Grand Total</t>
  </si>
  <si>
    <t>Sum of Costo Mensual</t>
  </si>
  <si>
    <t>Sum of Costo Mensual2</t>
  </si>
  <si>
    <t>Gasto Necesarios Obligatorios Mensual</t>
  </si>
  <si>
    <t>Servicios (Internet(80) + Datos(30) + Luz(80)Agua(45)Gas(20)+HBOMax(15)+Arriendo(250))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</si>
</sst>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64" fontId="0" fillId="0" borderId="0" xfId="1" applyNumberFormat="1" applyFont="1"/>
    <xf numFmtId="0" fontId="1" fillId="0" borderId="0" xfId="0" applyFont="1"/>
    <xf numFmtId="164" fontId="0" fillId="0" borderId="0" xfId="1" applyNumberFormat="1" applyFont="1" applyAlignment="1">
      <alignment horizontal="center"/>
    </xf>
    <xf numFmtId="164" fontId="1" fillId="0" borderId="0" xfId="1" applyNumberFormat="1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2" applyFont="1"/>
    <xf numFmtId="0" fontId="3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sson Bustos" refreshedDate="46026.583907523149" createdVersion="8" refreshedVersion="8" minRefreshableVersion="3" recordCount="8" xr:uid="{8C986586-7514-4E0E-A20D-DA62F024332F}">
  <cacheSource type="worksheet">
    <worksheetSource name="Table3"/>
  </cacheSource>
  <cacheFields count="3">
    <cacheField name="Gastos Casa" numFmtId="0">
      <sharedItems/>
    </cacheField>
    <cacheField name="Costo Mensual" numFmtId="164">
      <sharedItems containsSemiMixedTypes="0" containsString="0" containsNumber="1" containsInteger="1" minValue="20000" maxValue="400000"/>
    </cacheField>
    <cacheField name="Responsable" numFmtId="0">
      <sharedItems count="2">
        <s v="Steven"/>
        <s v="Menc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Internet"/>
    <n v="65000"/>
    <x v="0"/>
  </r>
  <r>
    <s v="Luz"/>
    <n v="85000"/>
    <x v="0"/>
  </r>
  <r>
    <s v="Agua"/>
    <n v="45000"/>
    <x v="0"/>
  </r>
  <r>
    <s v="Gas"/>
    <n v="20000"/>
    <x v="0"/>
  </r>
  <r>
    <s v="Arriendo1"/>
    <n v="250000"/>
    <x v="0"/>
  </r>
  <r>
    <s v="Arriendo2"/>
    <n v="250000"/>
    <x v="1"/>
  </r>
  <r>
    <s v="Mercado"/>
    <n v="400000"/>
    <x v="0"/>
  </r>
  <r>
    <s v="Mercado"/>
    <n v="40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99EA5-9612-4625-BA10-B603E24EAE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5" firstHeaderRow="0" firstDataRow="1" firstDataCol="1"/>
  <pivotFields count="3">
    <pivotField showAll="0"/>
    <pivotField dataField="1" numFmtId="164" showAll="0"/>
    <pivotField axis="axisRow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o Mensual2" fld="1" baseField="0" baseItem="0" numFmtId="164"/>
    <dataField name="Sum of Costo Mensual" fld="1" showDataAs="percentOfTotal" baseField="0" baseItem="0" numFmtId="1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CD0AC-555F-403C-AAFB-36E2AD0EC8EC}" name="Table1" displayName="Table1" ref="A1:B9" totalsRowShown="0" headerRowDxfId="19">
  <autoFilter ref="A1:B9" xr:uid="{A2ECD0AC-555F-403C-AAFB-36E2AD0EC8EC}"/>
  <sortState xmlns:xlrd2="http://schemas.microsoft.com/office/spreadsheetml/2017/richdata2" ref="A2:B9">
    <sortCondition descending="1" ref="B1:B9"/>
  </sortState>
  <tableColumns count="2">
    <tableColumn id="1" xr3:uid="{BAD95831-5043-41D3-B5B9-5A24547A4772}" name="Gasto actual"/>
    <tableColumn id="2" xr3:uid="{203F811F-37A4-47BE-9963-047B763CBB46}" name="$" dataDxfId="18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C8AE8-7874-4BA3-AAE4-2070822817F8}" name="Table13" displayName="Table13" ref="D1:E9" totalsRowCount="1" headerRowDxfId="17">
  <autoFilter ref="D1:E8" xr:uid="{E70C8AE8-7874-4BA3-AAE4-2070822817F8}"/>
  <sortState xmlns:xlrd2="http://schemas.microsoft.com/office/spreadsheetml/2017/richdata2" ref="D2:E8">
    <sortCondition descending="1" ref="E1:E8"/>
  </sortState>
  <tableColumns count="2">
    <tableColumn id="1" xr3:uid="{5F8CCC58-D2AC-43BB-A292-F8F1E93625AF}" name="Gasto actual" totalsRowLabel="Sum"/>
    <tableColumn id="2" xr3:uid="{D22DDE4F-B71A-48AE-B03D-A02A42D0F1B4}" name="$" totalsRowFunction="sum" dataDxfId="16" totalsRowDxfId="15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BC60FE-C34F-436C-AD62-8EDF1622E16F}" name="Table15" displayName="Table15" ref="A21:B26" totalsRowShown="0" headerRowDxfId="14">
  <autoFilter ref="A21:B26" xr:uid="{1BBC60FE-C34F-436C-AD62-8EDF1622E16F}"/>
  <sortState xmlns:xlrd2="http://schemas.microsoft.com/office/spreadsheetml/2017/richdata2" ref="A22:B26">
    <sortCondition descending="1" ref="B21:B26"/>
  </sortState>
  <tableColumns count="2">
    <tableColumn id="1" xr3:uid="{0FB4DFFB-8E2A-4709-9EC9-2E1211A51EE2}" name="Gasto Necesarios Obligatorios Mensual"/>
    <tableColumn id="2" xr3:uid="{696EF600-A02C-4147-BE82-A17D1DF58295}" name="$" dataDxfId="13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78BC0-E58C-47CE-BAD2-C2CC299CA16B}" name="Table3" displayName="Table3" ref="A1:C10" totalsRowCount="1" headerRowDxfId="6" dataDxfId="5">
  <autoFilter ref="A1:C9" xr:uid="{C9D78BC0-E58C-47CE-BAD2-C2CC299CA16B}"/>
  <tableColumns count="3">
    <tableColumn id="1" xr3:uid="{0A4DE8C8-284F-47C2-A0A7-D2A007D2F8EC}" name="Gastos Casa" totalsRowLabel="Sum" dataDxfId="4" totalsRowDxfId="3"/>
    <tableColumn id="2" xr3:uid="{23A33FC3-0E5B-4288-AEF6-3A019DD4536F}" name="Costo Mensual" totalsRowFunction="sum" dataDxfId="2" totalsRowDxfId="1" dataCellStyle="Currency"/>
    <tableColumn id="3" xr3:uid="{C36C1DFF-F0DA-4A28-932F-AC923D01F76A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DFE7-7CFC-493A-9B6A-0F99C8FE855B}">
  <dimension ref="A4:J14"/>
  <sheetViews>
    <sheetView workbookViewId="0">
      <selection activeCell="B14" sqref="B14"/>
    </sheetView>
  </sheetViews>
  <sheetFormatPr defaultRowHeight="15.05" x14ac:dyDescent="0.3"/>
  <cols>
    <col min="1" max="3" width="12" bestFit="1" customWidth="1"/>
    <col min="4" max="4" width="7.88671875" bestFit="1" customWidth="1"/>
    <col min="5" max="5" width="6.77734375" bestFit="1" customWidth="1"/>
    <col min="6" max="6" width="14" bestFit="1" customWidth="1"/>
    <col min="7" max="7" width="19.77734375" bestFit="1" customWidth="1"/>
    <col min="10" max="10" width="13.44140625" bestFit="1" customWidth="1"/>
  </cols>
  <sheetData>
    <row r="4" spans="1:10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1" t="s">
        <v>13</v>
      </c>
    </row>
    <row r="5" spans="1:10" x14ac:dyDescent="0.3">
      <c r="A5" s="2" t="s">
        <v>7</v>
      </c>
      <c r="B5" s="2" t="s">
        <v>7</v>
      </c>
      <c r="C5" s="2" t="s">
        <v>7</v>
      </c>
      <c r="D5" s="2" t="s">
        <v>8</v>
      </c>
      <c r="E5" s="2" t="s">
        <v>8</v>
      </c>
      <c r="F5" s="2" t="s">
        <v>26</v>
      </c>
      <c r="G5" s="2" t="s">
        <v>25</v>
      </c>
      <c r="J5" s="1" t="s">
        <v>14</v>
      </c>
    </row>
    <row r="6" spans="1:10" x14ac:dyDescent="0.3">
      <c r="A6" s="2">
        <v>9</v>
      </c>
      <c r="B6" s="2">
        <v>9</v>
      </c>
      <c r="C6" s="2">
        <v>9</v>
      </c>
      <c r="D6" s="2">
        <v>0</v>
      </c>
      <c r="E6" s="2">
        <v>0</v>
      </c>
      <c r="F6" s="2">
        <v>8</v>
      </c>
      <c r="G6" s="2">
        <v>8</v>
      </c>
      <c r="H6" s="6">
        <f>SUM(A6:G6)</f>
        <v>43</v>
      </c>
      <c r="J6" s="1" t="s">
        <v>15</v>
      </c>
    </row>
    <row r="7" spans="1:10" x14ac:dyDescent="0.3">
      <c r="A7" s="1"/>
      <c r="B7" s="1"/>
      <c r="C7" s="1"/>
      <c r="D7" s="1"/>
      <c r="E7" s="1"/>
      <c r="F7" s="1"/>
      <c r="G7" s="1"/>
      <c r="J7" s="1" t="s">
        <v>16</v>
      </c>
    </row>
    <row r="8" spans="1:10" x14ac:dyDescent="0.3">
      <c r="A8" s="2" t="s">
        <v>19</v>
      </c>
      <c r="B8" s="2" t="s">
        <v>14</v>
      </c>
      <c r="C8" s="2" t="s">
        <v>23</v>
      </c>
      <c r="D8" s="2" t="s">
        <v>20</v>
      </c>
      <c r="E8" s="2" t="s">
        <v>16</v>
      </c>
      <c r="F8" s="2" t="s">
        <v>16</v>
      </c>
      <c r="G8" s="2" t="s">
        <v>17</v>
      </c>
      <c r="J8" s="1" t="s">
        <v>18</v>
      </c>
    </row>
    <row r="9" spans="1:10" x14ac:dyDescent="0.3">
      <c r="A9" s="2" t="s">
        <v>21</v>
      </c>
      <c r="B9" s="5"/>
      <c r="C9" s="5"/>
      <c r="D9" s="2" t="s">
        <v>18</v>
      </c>
      <c r="E9" s="5" t="s">
        <v>24</v>
      </c>
      <c r="F9" s="5" t="s">
        <v>22</v>
      </c>
      <c r="G9" s="2" t="s">
        <v>15</v>
      </c>
    </row>
    <row r="10" spans="1:10" x14ac:dyDescent="0.3">
      <c r="G10" s="1" t="s">
        <v>23</v>
      </c>
    </row>
    <row r="11" spans="1:10" x14ac:dyDescent="0.3">
      <c r="A11" s="1" t="s">
        <v>9</v>
      </c>
      <c r="B11" s="4">
        <v>0.41666666666666669</v>
      </c>
    </row>
    <row r="12" spans="1:10" x14ac:dyDescent="0.3">
      <c r="A12" s="1" t="s">
        <v>10</v>
      </c>
      <c r="B12" s="4">
        <v>0.4375</v>
      </c>
    </row>
    <row r="13" spans="1:10" x14ac:dyDescent="0.3">
      <c r="A13" s="1" t="s">
        <v>11</v>
      </c>
      <c r="B13" s="4">
        <v>0.95833333333333337</v>
      </c>
    </row>
    <row r="14" spans="1:10" x14ac:dyDescent="0.3">
      <c r="A14" s="1" t="s">
        <v>12</v>
      </c>
      <c r="B14" s="4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1782-3049-4CF0-B2FC-3158CD3E42CA}">
  <dimension ref="A1:I27"/>
  <sheetViews>
    <sheetView tabSelected="1" workbookViewId="0">
      <selection activeCell="D25" sqref="D25"/>
    </sheetView>
  </sheetViews>
  <sheetFormatPr defaultRowHeight="15.05" x14ac:dyDescent="0.3"/>
  <cols>
    <col min="1" max="1" width="72.6640625" bestFit="1" customWidth="1"/>
    <col min="2" max="2" width="11" bestFit="1" customWidth="1"/>
    <col min="3" max="3" width="9.5546875" bestFit="1" customWidth="1"/>
    <col min="4" max="4" width="37.88671875" bestFit="1" customWidth="1"/>
    <col min="5" max="5" width="11" bestFit="1" customWidth="1"/>
    <col min="7" max="7" width="23.6640625" bestFit="1" customWidth="1"/>
    <col min="8" max="8" width="11.21875" bestFit="1" customWidth="1"/>
  </cols>
  <sheetData>
    <row r="1" spans="1:9" x14ac:dyDescent="0.3">
      <c r="A1" s="8" t="s">
        <v>33</v>
      </c>
      <c r="B1" s="8" t="s">
        <v>34</v>
      </c>
      <c r="D1" s="8" t="s">
        <v>33</v>
      </c>
      <c r="E1" s="8" t="s">
        <v>34</v>
      </c>
    </row>
    <row r="2" spans="1:9" x14ac:dyDescent="0.3">
      <c r="A2" s="14" t="s">
        <v>37</v>
      </c>
      <c r="B2" s="7">
        <v>400000</v>
      </c>
      <c r="C2" s="11"/>
      <c r="D2" t="s">
        <v>39</v>
      </c>
      <c r="E2" s="7">
        <v>1000000</v>
      </c>
      <c r="H2" t="s">
        <v>41</v>
      </c>
      <c r="I2">
        <v>1200</v>
      </c>
    </row>
    <row r="3" spans="1:9" x14ac:dyDescent="0.3">
      <c r="A3" t="s">
        <v>29</v>
      </c>
      <c r="B3" s="7">
        <v>350000</v>
      </c>
      <c r="C3" s="11"/>
      <c r="D3" t="s">
        <v>29</v>
      </c>
      <c r="E3" s="7">
        <v>500000</v>
      </c>
      <c r="H3" t="s">
        <v>40</v>
      </c>
      <c r="I3">
        <v>750</v>
      </c>
    </row>
    <row r="4" spans="1:9" x14ac:dyDescent="0.3">
      <c r="A4" t="s">
        <v>31</v>
      </c>
      <c r="B4" s="7">
        <v>370000</v>
      </c>
      <c r="C4" s="11"/>
      <c r="D4" s="14" t="s">
        <v>37</v>
      </c>
      <c r="E4" s="7">
        <v>300000</v>
      </c>
      <c r="H4" t="s">
        <v>42</v>
      </c>
      <c r="I4">
        <v>700</v>
      </c>
    </row>
    <row r="5" spans="1:9" x14ac:dyDescent="0.3">
      <c r="A5" t="s">
        <v>50</v>
      </c>
      <c r="B5" s="7">
        <v>264000</v>
      </c>
      <c r="C5" s="11"/>
      <c r="D5" t="s">
        <v>31</v>
      </c>
      <c r="E5" s="7">
        <v>370000</v>
      </c>
      <c r="H5" t="s">
        <v>43</v>
      </c>
      <c r="I5">
        <v>250</v>
      </c>
    </row>
    <row r="6" spans="1:9" x14ac:dyDescent="0.3">
      <c r="A6" t="s">
        <v>30</v>
      </c>
      <c r="B6" s="7">
        <v>150000</v>
      </c>
      <c r="C6" s="11"/>
      <c r="D6" t="s">
        <v>36</v>
      </c>
      <c r="E6" s="7">
        <v>150000</v>
      </c>
    </row>
    <row r="7" spans="1:9" x14ac:dyDescent="0.3">
      <c r="A7" t="s">
        <v>32</v>
      </c>
      <c r="B7" s="7">
        <v>150000</v>
      </c>
      <c r="C7" s="11"/>
      <c r="D7" t="s">
        <v>30</v>
      </c>
      <c r="E7" s="7">
        <v>150000</v>
      </c>
    </row>
    <row r="8" spans="1:9" x14ac:dyDescent="0.3">
      <c r="A8" t="s">
        <v>35</v>
      </c>
      <c r="B8" s="7">
        <v>100000</v>
      </c>
      <c r="C8" s="11"/>
      <c r="D8" t="s">
        <v>32</v>
      </c>
      <c r="E8" s="7">
        <v>150000</v>
      </c>
    </row>
    <row r="9" spans="1:9" x14ac:dyDescent="0.3">
      <c r="A9" t="s">
        <v>48</v>
      </c>
      <c r="B9" s="7">
        <v>100000</v>
      </c>
      <c r="C9" s="11"/>
      <c r="D9" t="s">
        <v>38</v>
      </c>
      <c r="E9" s="11">
        <f>SUBTOTAL(109,Table13[$])</f>
        <v>2620000</v>
      </c>
    </row>
    <row r="10" spans="1:9" x14ac:dyDescent="0.3">
      <c r="B10" s="10">
        <f>SUM(B2:B9)</f>
        <v>1884000</v>
      </c>
    </row>
    <row r="11" spans="1:9" x14ac:dyDescent="0.3">
      <c r="D11" s="9">
        <v>3100000</v>
      </c>
    </row>
    <row r="12" spans="1:9" x14ac:dyDescent="0.3">
      <c r="A12" s="9">
        <v>3100000</v>
      </c>
      <c r="D12" s="12">
        <f>D11-E9</f>
        <v>480000</v>
      </c>
      <c r="E12" s="13">
        <f>D12/D11</f>
        <v>0.15483870967741936</v>
      </c>
    </row>
    <row r="13" spans="1:9" x14ac:dyDescent="0.3">
      <c r="A13" s="12">
        <f>A12-B10</f>
        <v>1216000</v>
      </c>
      <c r="B13" s="13">
        <f>A13/$A$12</f>
        <v>0.39225806451612905</v>
      </c>
    </row>
    <row r="14" spans="1:9" x14ac:dyDescent="0.3">
      <c r="A14" s="11"/>
      <c r="D14" s="8" t="s">
        <v>49</v>
      </c>
      <c r="G14">
        <v>9143523</v>
      </c>
    </row>
    <row r="15" spans="1:9" x14ac:dyDescent="0.3">
      <c r="A15" s="8" t="s">
        <v>49</v>
      </c>
      <c r="D15" s="11">
        <f>D12*13</f>
        <v>6240000</v>
      </c>
      <c r="G15">
        <v>650000</v>
      </c>
      <c r="H15">
        <f>G14/G15</f>
        <v>14.066958461538462</v>
      </c>
    </row>
    <row r="16" spans="1:9" x14ac:dyDescent="0.3">
      <c r="A16" s="11">
        <f>A13*13</f>
        <v>15808000</v>
      </c>
      <c r="B16" s="13"/>
    </row>
    <row r="21" spans="1:2" x14ac:dyDescent="0.3">
      <c r="A21" s="8" t="s">
        <v>71</v>
      </c>
      <c r="B21" s="8" t="s">
        <v>34</v>
      </c>
    </row>
    <row r="22" spans="1:2" x14ac:dyDescent="0.3">
      <c r="A22" t="s">
        <v>72</v>
      </c>
      <c r="B22" s="7">
        <v>565000</v>
      </c>
    </row>
    <row r="23" spans="1:2" x14ac:dyDescent="0.3">
      <c r="A23" t="s">
        <v>29</v>
      </c>
      <c r="B23" s="7">
        <v>400000</v>
      </c>
    </row>
    <row r="24" spans="1:2" x14ac:dyDescent="0.3">
      <c r="A24" t="s">
        <v>31</v>
      </c>
      <c r="B24" s="7">
        <v>370000</v>
      </c>
    </row>
    <row r="25" spans="1:2" x14ac:dyDescent="0.3">
      <c r="A25" t="s">
        <v>30</v>
      </c>
      <c r="B25" s="7">
        <v>150000</v>
      </c>
    </row>
    <row r="26" spans="1:2" x14ac:dyDescent="0.3">
      <c r="A26" t="s">
        <v>35</v>
      </c>
      <c r="B26" s="7">
        <v>100000</v>
      </c>
    </row>
    <row r="27" spans="1:2" x14ac:dyDescent="0.3">
      <c r="B27" s="10">
        <f>SUM(B22:B26)</f>
        <v>1585000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ED2C-E499-4BE0-9C48-C5813B831762}">
  <dimension ref="A1:H21"/>
  <sheetViews>
    <sheetView workbookViewId="0">
      <selection activeCell="B8" sqref="B8"/>
    </sheetView>
  </sheetViews>
  <sheetFormatPr defaultRowHeight="15.05" x14ac:dyDescent="0.3"/>
  <cols>
    <col min="1" max="1" width="12" customWidth="1"/>
    <col min="2" max="2" width="16.6640625" bestFit="1" customWidth="1"/>
    <col min="3" max="3" width="15" bestFit="1" customWidth="1"/>
    <col min="6" max="6" width="11.88671875" bestFit="1" customWidth="1"/>
    <col min="7" max="7" width="19.77734375" bestFit="1" customWidth="1"/>
    <col min="8" max="8" width="18.77734375" bestFit="1" customWidth="1"/>
  </cols>
  <sheetData>
    <row r="1" spans="1:8" x14ac:dyDescent="0.3">
      <c r="A1" s="16" t="s">
        <v>56</v>
      </c>
      <c r="B1" s="16" t="s">
        <v>61</v>
      </c>
      <c r="C1" s="16" t="s">
        <v>62</v>
      </c>
    </row>
    <row r="2" spans="1:8" x14ac:dyDescent="0.3">
      <c r="A2" s="1" t="s">
        <v>57</v>
      </c>
      <c r="B2" s="9">
        <v>65000</v>
      </c>
      <c r="C2" s="1" t="s">
        <v>63</v>
      </c>
      <c r="F2" s="17" t="s">
        <v>67</v>
      </c>
      <c r="G2" s="1" t="s">
        <v>70</v>
      </c>
      <c r="H2" s="1" t="s">
        <v>69</v>
      </c>
    </row>
    <row r="3" spans="1:8" x14ac:dyDescent="0.3">
      <c r="A3" s="1" t="s">
        <v>58</v>
      </c>
      <c r="B3" s="9">
        <v>85000</v>
      </c>
      <c r="C3" s="1" t="s">
        <v>63</v>
      </c>
      <c r="F3" s="1" t="s">
        <v>66</v>
      </c>
      <c r="G3" s="12">
        <v>650000</v>
      </c>
      <c r="H3" s="18">
        <v>0.42904290429042902</v>
      </c>
    </row>
    <row r="4" spans="1:8" x14ac:dyDescent="0.3">
      <c r="A4" s="1" t="s">
        <v>59</v>
      </c>
      <c r="B4" s="9">
        <v>45000</v>
      </c>
      <c r="C4" s="1" t="s">
        <v>63</v>
      </c>
      <c r="F4" s="1" t="s">
        <v>63</v>
      </c>
      <c r="G4" s="12">
        <v>865000</v>
      </c>
      <c r="H4" s="18">
        <v>0.57095709570957098</v>
      </c>
    </row>
    <row r="5" spans="1:8" x14ac:dyDescent="0.3">
      <c r="A5" s="1" t="s">
        <v>60</v>
      </c>
      <c r="B5" s="9">
        <v>20000</v>
      </c>
      <c r="C5" s="1" t="s">
        <v>63</v>
      </c>
      <c r="F5" s="1" t="s">
        <v>68</v>
      </c>
      <c r="G5" s="12">
        <v>1515000</v>
      </c>
      <c r="H5" s="18">
        <v>1</v>
      </c>
    </row>
    <row r="6" spans="1:8" x14ac:dyDescent="0.3">
      <c r="A6" s="1" t="s">
        <v>64</v>
      </c>
      <c r="B6" s="9">
        <v>250000</v>
      </c>
      <c r="C6" s="1" t="s">
        <v>63</v>
      </c>
    </row>
    <row r="7" spans="1:8" x14ac:dyDescent="0.3">
      <c r="A7" s="1" t="s">
        <v>65</v>
      </c>
      <c r="B7" s="9">
        <v>250000</v>
      </c>
      <c r="C7" s="1" t="s">
        <v>66</v>
      </c>
    </row>
    <row r="8" spans="1:8" x14ac:dyDescent="0.3">
      <c r="A8" s="1" t="s">
        <v>29</v>
      </c>
      <c r="B8" s="9">
        <v>400000</v>
      </c>
      <c r="C8" s="1" t="s">
        <v>63</v>
      </c>
    </row>
    <row r="9" spans="1:8" x14ac:dyDescent="0.3">
      <c r="A9" s="1" t="s">
        <v>29</v>
      </c>
      <c r="B9" s="9">
        <v>400000</v>
      </c>
      <c r="C9" s="1" t="s">
        <v>66</v>
      </c>
    </row>
    <row r="10" spans="1:8" x14ac:dyDescent="0.3">
      <c r="A10" s="1" t="s">
        <v>38</v>
      </c>
      <c r="B10" s="12">
        <f>SUBTOTAL(109,Table3[Costo Mensual])</f>
        <v>1515000</v>
      </c>
    </row>
    <row r="14" spans="1:8" x14ac:dyDescent="0.3">
      <c r="A14">
        <v>600</v>
      </c>
      <c r="H14">
        <v>137997</v>
      </c>
    </row>
    <row r="15" spans="1:8" x14ac:dyDescent="0.3">
      <c r="A15">
        <v>952</v>
      </c>
      <c r="H15">
        <v>2823542</v>
      </c>
    </row>
    <row r="16" spans="1:8" x14ac:dyDescent="0.3">
      <c r="A16">
        <v>370</v>
      </c>
    </row>
    <row r="17" spans="1:2" x14ac:dyDescent="0.3">
      <c r="B17">
        <v>-4572</v>
      </c>
    </row>
    <row r="18" spans="1:2" x14ac:dyDescent="0.3">
      <c r="A18">
        <v>2000</v>
      </c>
      <c r="B18">
        <v>7100</v>
      </c>
    </row>
    <row r="19" spans="1:2" x14ac:dyDescent="0.3">
      <c r="A19">
        <v>1000</v>
      </c>
      <c r="B19">
        <v>5400</v>
      </c>
    </row>
    <row r="20" spans="1:2" x14ac:dyDescent="0.3">
      <c r="A20">
        <v>372</v>
      </c>
    </row>
    <row r="21" spans="1:2" x14ac:dyDescent="0.3">
      <c r="A21">
        <v>1200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D926-356F-4CDE-9756-B9246C5CE03C}">
  <dimension ref="A4:J26"/>
  <sheetViews>
    <sheetView topLeftCell="A2" workbookViewId="0">
      <selection activeCell="D14" sqref="D14"/>
    </sheetView>
  </sheetViews>
  <sheetFormatPr defaultRowHeight="15.05" x14ac:dyDescent="0.3"/>
  <cols>
    <col min="1" max="3" width="12" bestFit="1" customWidth="1"/>
    <col min="4" max="5" width="9.44140625" bestFit="1" customWidth="1"/>
    <col min="6" max="6" width="14" bestFit="1" customWidth="1"/>
    <col min="7" max="7" width="22.88671875" bestFit="1" customWidth="1"/>
    <col min="10" max="10" width="13.44140625" bestFit="1" customWidth="1"/>
  </cols>
  <sheetData>
    <row r="4" spans="1:10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1" t="s">
        <v>13</v>
      </c>
    </row>
    <row r="5" spans="1:10" x14ac:dyDescent="0.3">
      <c r="A5" s="2" t="s">
        <v>55</v>
      </c>
      <c r="B5" s="2" t="s">
        <v>55</v>
      </c>
      <c r="C5" s="2" t="s">
        <v>55</v>
      </c>
      <c r="D5" s="2" t="s">
        <v>55</v>
      </c>
      <c r="E5" s="2" t="s">
        <v>51</v>
      </c>
      <c r="F5" s="2" t="s">
        <v>8</v>
      </c>
      <c r="G5" s="2" t="s">
        <v>8</v>
      </c>
      <c r="J5" s="1" t="s">
        <v>14</v>
      </c>
    </row>
    <row r="6" spans="1:10" x14ac:dyDescent="0.3">
      <c r="A6" s="2">
        <v>9</v>
      </c>
      <c r="B6" s="2">
        <v>9</v>
      </c>
      <c r="C6" s="2">
        <v>9</v>
      </c>
      <c r="D6" s="2">
        <v>9</v>
      </c>
      <c r="E6" s="2">
        <v>8</v>
      </c>
      <c r="F6" s="2">
        <v>0</v>
      </c>
      <c r="G6" s="2">
        <v>0</v>
      </c>
      <c r="H6" s="6">
        <f>SUM(A6:G6)</f>
        <v>44</v>
      </c>
      <c r="J6" s="1" t="s">
        <v>15</v>
      </c>
    </row>
    <row r="7" spans="1:10" x14ac:dyDescent="0.3">
      <c r="A7" s="1"/>
      <c r="B7" s="1"/>
      <c r="C7" s="1"/>
      <c r="D7" s="1"/>
      <c r="E7" s="1"/>
      <c r="F7" s="1"/>
      <c r="G7" s="1"/>
      <c r="J7" s="1" t="s">
        <v>16</v>
      </c>
    </row>
    <row r="8" spans="1:10" x14ac:dyDescent="0.3">
      <c r="A8" s="2" t="s">
        <v>19</v>
      </c>
      <c r="B8" s="2" t="s">
        <v>14</v>
      </c>
      <c r="C8" s="2" t="s">
        <v>23</v>
      </c>
      <c r="D8" s="2" t="s">
        <v>20</v>
      </c>
      <c r="E8" s="2" t="s">
        <v>16</v>
      </c>
      <c r="F8" s="2" t="s">
        <v>16</v>
      </c>
      <c r="G8" s="2" t="s">
        <v>54</v>
      </c>
      <c r="J8" s="1" t="s">
        <v>18</v>
      </c>
    </row>
    <row r="9" spans="1:10" x14ac:dyDescent="0.3">
      <c r="A9" s="2" t="s">
        <v>21</v>
      </c>
      <c r="B9" s="2"/>
      <c r="C9" s="2"/>
      <c r="D9" s="2" t="s">
        <v>18</v>
      </c>
      <c r="E9" s="2" t="s">
        <v>24</v>
      </c>
      <c r="F9" s="2" t="s">
        <v>22</v>
      </c>
      <c r="G9" s="2" t="s">
        <v>15</v>
      </c>
    </row>
    <row r="10" spans="1:10" x14ac:dyDescent="0.3">
      <c r="A10" s="1"/>
      <c r="B10" s="1"/>
      <c r="C10" s="1"/>
      <c r="D10" s="1"/>
      <c r="E10" s="1"/>
      <c r="F10" s="1"/>
      <c r="G10" s="1" t="s">
        <v>23</v>
      </c>
    </row>
    <row r="11" spans="1:10" x14ac:dyDescent="0.3">
      <c r="A11" s="1" t="s">
        <v>9</v>
      </c>
      <c r="B11" s="4">
        <v>0.29166666666666669</v>
      </c>
    </row>
    <row r="12" spans="1:10" x14ac:dyDescent="0.3">
      <c r="A12" s="1" t="s">
        <v>10</v>
      </c>
      <c r="B12" s="4">
        <v>0.33333333333333331</v>
      </c>
    </row>
    <row r="13" spans="1:10" x14ac:dyDescent="0.3">
      <c r="A13" s="1" t="s">
        <v>11</v>
      </c>
      <c r="B13" s="4">
        <v>0.75</v>
      </c>
    </row>
    <row r="14" spans="1:10" x14ac:dyDescent="0.3">
      <c r="A14" s="1" t="s">
        <v>12</v>
      </c>
      <c r="B14" s="4">
        <v>0.95833333333333337</v>
      </c>
    </row>
    <row r="20" spans="1:4" x14ac:dyDescent="0.3">
      <c r="B20" s="15"/>
    </row>
    <row r="21" spans="1:4" x14ac:dyDescent="0.3">
      <c r="B21" t="s">
        <v>53</v>
      </c>
      <c r="C21" t="s">
        <v>52</v>
      </c>
      <c r="D21" t="s">
        <v>6</v>
      </c>
    </row>
    <row r="22" spans="1:4" x14ac:dyDescent="0.3">
      <c r="A22" s="1" t="s">
        <v>44</v>
      </c>
      <c r="B22" s="15">
        <f>6*5+C22+D22</f>
        <v>54</v>
      </c>
      <c r="C22">
        <v>12</v>
      </c>
      <c r="D22">
        <v>12</v>
      </c>
    </row>
    <row r="23" spans="1:4" x14ac:dyDescent="0.3">
      <c r="A23" s="1" t="s">
        <v>45</v>
      </c>
      <c r="B23" s="15">
        <v>44</v>
      </c>
    </row>
    <row r="24" spans="1:4" x14ac:dyDescent="0.3">
      <c r="A24" s="1" t="s">
        <v>46</v>
      </c>
      <c r="B24" s="15">
        <v>56</v>
      </c>
    </row>
    <row r="25" spans="1:4" x14ac:dyDescent="0.3">
      <c r="A25" s="1" t="s">
        <v>32</v>
      </c>
      <c r="B25" s="15">
        <v>0</v>
      </c>
    </row>
    <row r="26" spans="1:4" x14ac:dyDescent="0.3">
      <c r="A26" s="1" t="s">
        <v>47</v>
      </c>
      <c r="B26" s="15">
        <f>SUM(B22:B25)</f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D86C-027D-4D88-81C6-CCA2E1527469}">
  <dimension ref="A4:J26"/>
  <sheetViews>
    <sheetView workbookViewId="0">
      <selection activeCell="D22" sqref="D22"/>
    </sheetView>
  </sheetViews>
  <sheetFormatPr defaultRowHeight="15.05" x14ac:dyDescent="0.3"/>
  <cols>
    <col min="1" max="3" width="12" bestFit="1" customWidth="1"/>
    <col min="4" max="5" width="9.44140625" bestFit="1" customWidth="1"/>
    <col min="6" max="6" width="14" bestFit="1" customWidth="1"/>
    <col min="7" max="7" width="22.88671875" bestFit="1" customWidth="1"/>
    <col min="10" max="10" width="13.44140625" bestFit="1" customWidth="1"/>
  </cols>
  <sheetData>
    <row r="4" spans="1:10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1" t="s">
        <v>13</v>
      </c>
    </row>
    <row r="5" spans="1:10" x14ac:dyDescent="0.3">
      <c r="A5" s="2" t="s">
        <v>51</v>
      </c>
      <c r="B5" s="2" t="s">
        <v>51</v>
      </c>
      <c r="C5" s="2" t="s">
        <v>51</v>
      </c>
      <c r="D5" s="2" t="s">
        <v>51</v>
      </c>
      <c r="E5" s="2" t="s">
        <v>51</v>
      </c>
      <c r="F5" s="2" t="s">
        <v>8</v>
      </c>
      <c r="G5" s="2" t="s">
        <v>8</v>
      </c>
      <c r="J5" s="1" t="s">
        <v>14</v>
      </c>
    </row>
    <row r="6" spans="1:10" x14ac:dyDescent="0.3">
      <c r="A6" s="2">
        <v>8</v>
      </c>
      <c r="B6" s="2">
        <v>8</v>
      </c>
      <c r="C6" s="2">
        <v>8</v>
      </c>
      <c r="D6" s="2">
        <v>8</v>
      </c>
      <c r="E6" s="2">
        <v>8</v>
      </c>
      <c r="F6" s="2">
        <v>0</v>
      </c>
      <c r="G6" s="2">
        <v>0</v>
      </c>
      <c r="H6" s="6">
        <f>SUM(A6:G6)</f>
        <v>40</v>
      </c>
      <c r="J6" s="1" t="s">
        <v>15</v>
      </c>
    </row>
    <row r="7" spans="1:10" x14ac:dyDescent="0.3">
      <c r="A7" s="1"/>
      <c r="B7" s="1"/>
      <c r="C7" s="1"/>
      <c r="D7" s="1"/>
      <c r="E7" s="1"/>
      <c r="F7" s="1"/>
      <c r="G7" s="1"/>
      <c r="J7" s="1" t="s">
        <v>16</v>
      </c>
    </row>
    <row r="8" spans="1:10" x14ac:dyDescent="0.3">
      <c r="A8" s="2" t="s">
        <v>19</v>
      </c>
      <c r="B8" s="2" t="s">
        <v>14</v>
      </c>
      <c r="C8" s="2" t="s">
        <v>23</v>
      </c>
      <c r="D8" s="2" t="s">
        <v>20</v>
      </c>
      <c r="E8" s="2" t="s">
        <v>16</v>
      </c>
      <c r="F8" s="2" t="s">
        <v>16</v>
      </c>
      <c r="G8" s="2" t="s">
        <v>54</v>
      </c>
      <c r="J8" s="1" t="s">
        <v>18</v>
      </c>
    </row>
    <row r="9" spans="1:10" x14ac:dyDescent="0.3">
      <c r="A9" s="2" t="s">
        <v>21</v>
      </c>
      <c r="B9" s="2"/>
      <c r="C9" s="2"/>
      <c r="D9" s="2" t="s">
        <v>18</v>
      </c>
      <c r="E9" s="2" t="s">
        <v>24</v>
      </c>
      <c r="F9" s="2" t="s">
        <v>22</v>
      </c>
      <c r="G9" s="2" t="s">
        <v>15</v>
      </c>
    </row>
    <row r="10" spans="1:10" x14ac:dyDescent="0.3">
      <c r="A10" s="1"/>
      <c r="B10" s="1"/>
      <c r="C10" s="1"/>
      <c r="D10" s="1"/>
      <c r="E10" s="1"/>
      <c r="F10" s="1"/>
      <c r="G10" s="1" t="s">
        <v>23</v>
      </c>
    </row>
    <row r="11" spans="1:10" x14ac:dyDescent="0.3">
      <c r="A11" s="1" t="s">
        <v>9</v>
      </c>
      <c r="B11" s="4">
        <v>0.25</v>
      </c>
    </row>
    <row r="12" spans="1:10" x14ac:dyDescent="0.3">
      <c r="A12" s="1" t="s">
        <v>10</v>
      </c>
      <c r="B12" s="4">
        <v>0.29166666666666669</v>
      </c>
    </row>
    <row r="13" spans="1:10" x14ac:dyDescent="0.3">
      <c r="A13" s="1" t="s">
        <v>11</v>
      </c>
      <c r="B13" s="4">
        <v>0.75</v>
      </c>
    </row>
    <row r="14" spans="1:10" x14ac:dyDescent="0.3">
      <c r="A14" s="1" t="s">
        <v>12</v>
      </c>
      <c r="B14" s="4">
        <v>0.875</v>
      </c>
    </row>
    <row r="20" spans="1:4" x14ac:dyDescent="0.3">
      <c r="B20" s="15"/>
    </row>
    <row r="21" spans="1:4" x14ac:dyDescent="0.3">
      <c r="B21" t="s">
        <v>53</v>
      </c>
      <c r="C21" t="s">
        <v>52</v>
      </c>
      <c r="D21" t="s">
        <v>6</v>
      </c>
    </row>
    <row r="22" spans="1:4" x14ac:dyDescent="0.3">
      <c r="A22" s="1" t="s">
        <v>44</v>
      </c>
      <c r="B22" s="15">
        <f>4*5+C22+D22</f>
        <v>50</v>
      </c>
      <c r="C22">
        <v>15</v>
      </c>
      <c r="D22">
        <v>15</v>
      </c>
    </row>
    <row r="23" spans="1:4" x14ac:dyDescent="0.3">
      <c r="A23" s="1" t="s">
        <v>45</v>
      </c>
      <c r="B23" s="15">
        <f>8*5</f>
        <v>40</v>
      </c>
    </row>
    <row r="24" spans="1:4" x14ac:dyDescent="0.3">
      <c r="A24" s="1" t="s">
        <v>46</v>
      </c>
      <c r="B24" s="15">
        <v>56</v>
      </c>
    </row>
    <row r="25" spans="1:4" x14ac:dyDescent="0.3">
      <c r="A25" s="1" t="s">
        <v>32</v>
      </c>
      <c r="B25" s="15">
        <v>10</v>
      </c>
    </row>
    <row r="26" spans="1:4" x14ac:dyDescent="0.3">
      <c r="A26" s="1" t="s">
        <v>47</v>
      </c>
      <c r="B26" s="15">
        <f>SUM(B22:B25)</f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E28B-A7B6-470F-A252-DF24D0CD0B76}">
  <dimension ref="A4:J26"/>
  <sheetViews>
    <sheetView workbookViewId="0">
      <selection activeCell="C21" sqref="C21"/>
    </sheetView>
  </sheetViews>
  <sheetFormatPr defaultRowHeight="15.05" x14ac:dyDescent="0.3"/>
  <cols>
    <col min="1" max="3" width="12" bestFit="1" customWidth="1"/>
    <col min="4" max="5" width="9.44140625" bestFit="1" customWidth="1"/>
    <col min="6" max="6" width="14" bestFit="1" customWidth="1"/>
    <col min="7" max="7" width="22.88671875" bestFit="1" customWidth="1"/>
    <col min="10" max="10" width="13.44140625" bestFit="1" customWidth="1"/>
  </cols>
  <sheetData>
    <row r="4" spans="1:10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1" t="s">
        <v>13</v>
      </c>
    </row>
    <row r="5" spans="1:10" x14ac:dyDescent="0.3">
      <c r="A5" s="2" t="s">
        <v>27</v>
      </c>
      <c r="B5" s="2" t="s">
        <v>27</v>
      </c>
      <c r="C5" s="2" t="s">
        <v>27</v>
      </c>
      <c r="D5" s="2" t="s">
        <v>27</v>
      </c>
      <c r="E5" s="2" t="s">
        <v>27</v>
      </c>
      <c r="F5" s="2" t="s">
        <v>8</v>
      </c>
      <c r="G5" s="2" t="s">
        <v>8</v>
      </c>
      <c r="J5" s="1" t="s">
        <v>14</v>
      </c>
    </row>
    <row r="6" spans="1:10" x14ac:dyDescent="0.3">
      <c r="A6" s="2">
        <v>6</v>
      </c>
      <c r="B6" s="2">
        <v>6</v>
      </c>
      <c r="C6" s="2">
        <v>6</v>
      </c>
      <c r="D6" s="2">
        <v>6</v>
      </c>
      <c r="E6" s="2">
        <v>6</v>
      </c>
      <c r="F6" s="2">
        <v>0</v>
      </c>
      <c r="G6" s="2">
        <v>0</v>
      </c>
      <c r="H6" s="6">
        <f>SUM(A6:G6)</f>
        <v>30</v>
      </c>
      <c r="J6" s="1" t="s">
        <v>15</v>
      </c>
    </row>
    <row r="7" spans="1:10" x14ac:dyDescent="0.3">
      <c r="A7" s="1"/>
      <c r="B7" s="1"/>
      <c r="C7" s="1"/>
      <c r="D7" s="1"/>
      <c r="E7" s="1"/>
      <c r="F7" s="1"/>
      <c r="G7" s="1"/>
      <c r="J7" s="1" t="s">
        <v>16</v>
      </c>
    </row>
    <row r="8" spans="1:10" x14ac:dyDescent="0.3">
      <c r="A8" s="2" t="s">
        <v>19</v>
      </c>
      <c r="B8" s="2" t="s">
        <v>14</v>
      </c>
      <c r="C8" s="2" t="s">
        <v>23</v>
      </c>
      <c r="D8" s="2" t="s">
        <v>20</v>
      </c>
      <c r="E8" s="2" t="s">
        <v>16</v>
      </c>
      <c r="F8" s="2" t="s">
        <v>16</v>
      </c>
      <c r="G8" s="2" t="s">
        <v>28</v>
      </c>
      <c r="J8" s="1" t="s">
        <v>18</v>
      </c>
    </row>
    <row r="9" spans="1:10" x14ac:dyDescent="0.3">
      <c r="A9" s="2" t="s">
        <v>21</v>
      </c>
      <c r="B9" s="2"/>
      <c r="C9" s="2"/>
      <c r="D9" s="2" t="s">
        <v>18</v>
      </c>
      <c r="E9" s="2" t="s">
        <v>24</v>
      </c>
      <c r="F9" s="2" t="s">
        <v>22</v>
      </c>
      <c r="G9" s="2" t="s">
        <v>15</v>
      </c>
    </row>
    <row r="10" spans="1:10" x14ac:dyDescent="0.3">
      <c r="A10" s="1"/>
      <c r="B10" s="1"/>
      <c r="C10" s="1"/>
      <c r="D10" s="1"/>
      <c r="E10" s="1"/>
      <c r="F10" s="1"/>
      <c r="G10" s="1" t="s">
        <v>23</v>
      </c>
    </row>
    <row r="11" spans="1:10" x14ac:dyDescent="0.3">
      <c r="A11" s="1" t="s">
        <v>9</v>
      </c>
      <c r="B11" s="4">
        <v>0.29166666666666669</v>
      </c>
    </row>
    <row r="12" spans="1:10" x14ac:dyDescent="0.3">
      <c r="A12" s="1" t="s">
        <v>10</v>
      </c>
      <c r="B12" s="4">
        <v>0.31944444444444442</v>
      </c>
    </row>
    <row r="13" spans="1:10" x14ac:dyDescent="0.3">
      <c r="A13" s="1" t="s">
        <v>11</v>
      </c>
      <c r="B13" s="4">
        <v>0.75</v>
      </c>
    </row>
    <row r="14" spans="1:10" x14ac:dyDescent="0.3">
      <c r="A14" s="1" t="s">
        <v>12</v>
      </c>
      <c r="B14" s="4">
        <v>0</v>
      </c>
    </row>
    <row r="20" spans="1:2" x14ac:dyDescent="0.3">
      <c r="B20" s="15"/>
    </row>
    <row r="22" spans="1:2" x14ac:dyDescent="0.3">
      <c r="A22" s="1" t="s">
        <v>44</v>
      </c>
      <c r="B22" s="15">
        <v>60</v>
      </c>
    </row>
    <row r="23" spans="1:2" x14ac:dyDescent="0.3">
      <c r="A23" s="1" t="s">
        <v>45</v>
      </c>
      <c r="B23" s="15">
        <v>30</v>
      </c>
    </row>
    <row r="24" spans="1:2" x14ac:dyDescent="0.3">
      <c r="A24" s="1" t="s">
        <v>46</v>
      </c>
      <c r="B24" s="15">
        <f>8*7</f>
        <v>56</v>
      </c>
    </row>
    <row r="25" spans="1:2" x14ac:dyDescent="0.3">
      <c r="A25" s="1" t="s">
        <v>32</v>
      </c>
      <c r="B25" s="15">
        <v>15</v>
      </c>
    </row>
    <row r="26" spans="1:2" x14ac:dyDescent="0.3">
      <c r="A26" s="1" t="s">
        <v>47</v>
      </c>
      <c r="B26" s="15">
        <f>24*7</f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Gastos</vt:lpstr>
      <vt:lpstr>Gastos Mensuales Casa</vt:lpstr>
      <vt:lpstr>Schedule (3)</vt:lpstr>
      <vt:lpstr>Schedule (2)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Edisson Bustos</dc:creator>
  <cp:lastModifiedBy>a10022</cp:lastModifiedBy>
  <dcterms:created xsi:type="dcterms:W3CDTF">2024-02-16T06:44:20Z</dcterms:created>
  <dcterms:modified xsi:type="dcterms:W3CDTF">2026-01-23T08:02:33Z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2024-06-26T20:48:43Z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53802231-de1e-435c-8ed7-38a95a9b7e95</vt:lpwstr>
  </property>
  <property fmtid="{D5CDD505-2E9C-101B-9397-08002B2CF9AE}" pid="8" name="MSIP_Label_6b227fc4-0160-4f97-9aff-69e015a65ad2_ContentBits">
    <vt:lpwstr>0</vt:lpwstr>
  </property>
</Properties>
</file>